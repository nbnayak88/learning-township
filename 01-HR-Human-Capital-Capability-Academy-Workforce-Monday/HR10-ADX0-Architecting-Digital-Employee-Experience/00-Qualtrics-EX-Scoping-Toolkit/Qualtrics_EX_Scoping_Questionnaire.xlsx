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ummary" sheetId="2" state="visible" r:id="rId4"/>
    <sheet name="Use Case Map" sheetId="3" state="visible" r:id="rId5"/>
    <sheet name="Questionnaire" sheetId="4" state="visible" r:id="rId6"/>
    <sheet name="SF Module Readiness" sheetId="5" state="visible" r:id="rId7"/>
    <sheet name="Data Inventory" sheetId="6" state="visible" r:id="rId8"/>
    <sheet name="Timeline &amp; Risks" sheetId="7" state="visible" r:id="rId9"/>
    <sheet name="Stakeholders" sheetId="8" state="visible" r:id="rId10"/>
    <sheet name="Sources" sheetId="9" state="visible" r:id="rId11"/>
  </sheets>
  <definedNames>
    <definedName function="false" hidden="false" localSheetId="3" name="_xlnm.Print_Titles" vbProcedure="false">Questionnaire!$4:$4</definedName>
    <definedName function="false" hidden="true" localSheetId="3" name="_xlnm._FilterDatabase" vbProcedure="false">Questionnaire!$A$4:$N$204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<sst xmlns="http://schemas.openxmlformats.org/spreadsheetml/2006/main" count="2675" uniqueCount="1106">
  <si>
    <t xml:space="preserve">Qualtrics Employee Experience Scoping Questionnaire</t>
  </si>
  <si>
    <t xml:space="preserve">SAP SuccessFactors (Employee Central and PMGM live) + Qualtrics EX | Go-live target in 3-4 months | Prepared 28 Oct 2026</t>
  </si>
  <si>
    <t xml:space="preserve">Client</t>
  </si>
  <si>
    <t xml:space="preserve">[Client name]</t>
  </si>
  <si>
    <t xml:space="preserve">Prepared by</t>
  </si>
  <si>
    <t xml:space="preserve">[Consultant / firm]</t>
  </si>
  <si>
    <t xml:space="preserve">Purpose</t>
  </si>
  <si>
    <t xml:space="preserve">Gather the information needed to scope, size and sequence a Qualtrics Employee Experience (EX) implementation alongside SAP SuccessFactors, so the project can reach go-live in 3-4 months.</t>
  </si>
  <si>
    <t xml:space="preserve">Context we assume</t>
  </si>
  <si>
    <t xml:space="preserve">Employee Central and Performance &amp; Goals (PMGM) are live. Other SuccessFactors modules are upcoming and some may go live in the same window. Treat every assumption here as a question to confirm.</t>
  </si>
  <si>
    <t xml:space="preserve">How to use</t>
  </si>
  <si>
    <t xml:space="preserve">1) Start with the Use Case Map and mark each use case Wave 1 / Phase 2 / Out. 2) Answer the Questionnaire tab, starting with rows marked with a star (kick-off questions). 3) Complete the SF Module Readiness and Data Inventory tabs. 4) Review the 16-week plan and risks. Work in the yellow cells.</t>
  </si>
  <si>
    <t xml:space="preserve">Priority</t>
  </si>
  <si>
    <t xml:space="preserve">P1 = must answer to avoid blocking design or build. P2 = should answer before build. P3 = nice to have or Phase 2.</t>
  </si>
  <si>
    <t xml:space="preserve">Needed by</t>
  </si>
  <si>
    <t xml:space="preserve">Week 2 = needed in discovery. Week 4 = needed to finish design. Week 8 = needed before build completes. Post go-live = can follow launch.</t>
  </si>
  <si>
    <t xml:space="preserve">Status values</t>
  </si>
  <si>
    <t xml:space="preserve">Not started, In progress, Answered, Follow-up needed, Not applicable. The Summary tab counts these automatically.</t>
  </si>
  <si>
    <t xml:space="preserve">Colour key</t>
  </si>
  <si>
    <t xml:space="preserve">Yellow fill = cell for the client to complete. Blue text = date or number input you may change. Black text = formula or fixed content.</t>
  </si>
  <si>
    <t xml:space="preserve">Product caution</t>
  </si>
  <si>
    <t xml:space="preserve">SAP and Qualtrics product names, packaging and integration options change often. Where a question mentions a product option, treat it as something to validate with SAP and Qualtrics, not as a commitment.</t>
  </si>
  <si>
    <t xml:space="preserve">Sources</t>
  </si>
  <si>
    <t xml:space="preserve">See the Sources tab. Qualtrics 360 terms (subject, evaluator, directory, administrator types, workflows, waves) come from the Qualtrics Support page you provided.</t>
  </si>
  <si>
    <t xml:space="preserve">Example of a completed row</t>
  </si>
  <si>
    <t xml:space="preserve">ID</t>
  </si>
  <si>
    <t xml:space="preserve">LCE-05</t>
  </si>
  <si>
    <t xml:space="preserve">Question</t>
  </si>
  <si>
    <t xml:space="preserve">How should exit surveys work: which exit types are included, and should they be sent before or after the last day?</t>
  </si>
  <si>
    <t xml:space="preserve">Client response (example)</t>
  </si>
  <si>
    <t xml:space="preserve">Resignation and retirement only; dismissal and contract end excluded. Send 3 days after last working day to personal email; HR owns the exit programme.</t>
  </si>
  <si>
    <t xml:space="preserve">Status (example)</t>
  </si>
  <si>
    <t xml:space="preserve">Answered</t>
  </si>
  <si>
    <t xml:space="preserve">Respondent (example)</t>
  </si>
  <si>
    <t xml:space="preserve">Priya Menon, Head of HR Operations</t>
  </si>
  <si>
    <t xml:space="preserve">Follow-up (example)</t>
  </si>
  <si>
    <t xml:space="preserve">Confirm personal-email consent wording with Legal by end of Week 3.</t>
  </si>
  <si>
    <t xml:space="preserve">Progress Summary</t>
  </si>
  <si>
    <t xml:space="preserve">All figures calculate from the Questionnaire tab.</t>
  </si>
  <si>
    <t xml:space="preserve">Section</t>
  </si>
  <si>
    <t xml:space="preserve">Questions</t>
  </si>
  <si>
    <t xml:space="preserve">P1 questions</t>
  </si>
  <si>
    <t xml:space="preserve">Answered / N/A</t>
  </si>
  <si>
    <t xml:space="preserve">Open</t>
  </si>
  <si>
    <t xml:space="preserve">% complete</t>
  </si>
  <si>
    <t xml:space="preserve">P1 still open</t>
  </si>
  <si>
    <t xml:space="preserve">Project Context &amp; Objectives</t>
  </si>
  <si>
    <t xml:space="preserve">Use-Case Selection &amp; Prioritisation</t>
  </si>
  <si>
    <t xml:space="preserve">Licensing, Commercials &amp; Contracting</t>
  </si>
  <si>
    <t xml:space="preserve">Employee Engagement Survey</t>
  </si>
  <si>
    <t xml:space="preserve">Pulse &amp; Ad Hoc Listening</t>
  </si>
  <si>
    <t xml:space="preserve">Lifecycle Moments: Onboarding, Exit &amp; Candidate</t>
  </si>
  <si>
    <t xml:space="preserve">360 / Multi-Rater Feedback</t>
  </si>
  <si>
    <t xml:space="preserve">Manager Effectiveness &amp; Action Planning</t>
  </si>
  <si>
    <t xml:space="preserve">Employee Technology Experience</t>
  </si>
  <si>
    <t xml:space="preserve">Survey Content, Scales &amp; Languages</t>
  </si>
  <si>
    <t xml:space="preserve">SuccessFactors Integration &amp; Architecture</t>
  </si>
  <si>
    <t xml:space="preserve">Employee Data, Hierarchy &amp; Attributes</t>
  </si>
  <si>
    <t xml:space="preserve">Reporting, Dashboards &amp; Analytics (incl. AI)</t>
  </si>
  <si>
    <t xml:space="preserve">Security, Privacy &amp; Compliance</t>
  </si>
  <si>
    <t xml:space="preserve">Roles, Access &amp; Governance</t>
  </si>
  <si>
    <t xml:space="preserve">Communications, Change &amp; Adoption</t>
  </si>
  <si>
    <t xml:space="preserve">Upcoming SuccessFactors Modules &amp; Sequencing</t>
  </si>
  <si>
    <t xml:space="preserve">Delivery, Timeline, Testing &amp; Support</t>
  </si>
  <si>
    <t xml:space="preserve">Success Measures &amp; Operating Model</t>
  </si>
  <si>
    <t xml:space="preserve">Total</t>
  </si>
  <si>
    <t xml:space="preserve">By priority</t>
  </si>
  <si>
    <t xml:space="preserve">P1 - Must answer</t>
  </si>
  <si>
    <t xml:space="preserve">P2 - Should answer</t>
  </si>
  <si>
    <t xml:space="preserve">P3 - Nice to have</t>
  </si>
  <si>
    <t xml:space="preserve">By needed-by milestone</t>
  </si>
  <si>
    <t xml:space="preserve">Week 2</t>
  </si>
  <si>
    <t xml:space="preserve">Week 4</t>
  </si>
  <si>
    <t xml:space="preserve">Week 8</t>
  </si>
  <si>
    <t xml:space="preserve">Post go-live</t>
  </si>
  <si>
    <t xml:space="preserve">Use Case Map</t>
  </si>
  <si>
    <t xml:space="preserve">Mark each use case for scope. The 'Fit for 3-4 month window' column is our starting hypothesis, to be challenged in discovery.</t>
  </si>
  <si>
    <t xml:space="preserve">Use case</t>
  </si>
  <si>
    <t xml:space="preserve">What it covers</t>
  </si>
  <si>
    <t xml:space="preserve">Typical SuccessFactors trigger / data</t>
  </si>
  <si>
    <t xml:space="preserve">Depends on</t>
  </si>
  <si>
    <t xml:space="preserve">Fit for 3-4 month window</t>
  </si>
  <si>
    <t xml:space="preserve">Why (hypothesis)</t>
  </si>
  <si>
    <t xml:space="preserve">Scope decision</t>
  </si>
  <si>
    <t xml:space="preserve">Business owner</t>
  </si>
  <si>
    <t xml:space="preserve">Audience / population</t>
  </si>
  <si>
    <t xml:space="preserve">Annual volume</t>
  </si>
  <si>
    <t xml:space="preserve">Comments</t>
  </si>
  <si>
    <t xml:space="preserve">Annual Engagement</t>
  </si>
  <si>
    <t xml:space="preserve">Census survey of engagement, drivers and manager effectiveness with hierarchy-based reporting.</t>
  </si>
  <si>
    <t xml:space="preserve">EC person, job and organisation data; reporting lines</t>
  </si>
  <si>
    <t xml:space="preserve">EC only (live)</t>
  </si>
  <si>
    <t xml:space="preserve">High</t>
  </si>
  <si>
    <t xml:space="preserve">Needs EC data only; the biggest effort is content, anonymity design and reporting roles.</t>
  </si>
  <si>
    <t xml:space="preserve">Pulse &amp; Ad Hoc</t>
  </si>
  <si>
    <t xml:space="preserve">Short recurring or event-driven surveys, including a SuccessFactors adoption pulse.</t>
  </si>
  <si>
    <t xml:space="preserve">EC participant file; optional SF home-page embed</t>
  </si>
  <si>
    <t xml:space="preserve">Reuses the engagement foundation; quickest visible value.</t>
  </si>
  <si>
    <t xml:space="preserve">Onboarding</t>
  </si>
  <si>
    <t xml:space="preserve">Surveys at set days after hire for new hire, manager and buddy.</t>
  </si>
  <si>
    <t xml:space="preserve">EC hire date, position start, manager, event reason</t>
  </si>
  <si>
    <t xml:space="preserve">EC hire events; richer if SF Onboarding is live</t>
  </si>
  <si>
    <t xml:space="preserve">Medium-High</t>
  </si>
  <si>
    <t xml:space="preserve">Trigger works from EC; check hiring volumes, event reasons and email availability before day one.</t>
  </si>
  <si>
    <t xml:space="preserve">Exit</t>
  </si>
  <si>
    <t xml:space="preserve">Leaver feedback and attrition drivers, before or after the last day.</t>
  </si>
  <si>
    <t xml:space="preserve">EC termination event, termination date, reason, contact data</t>
  </si>
  <si>
    <t xml:space="preserve">EC termination events; offboarding process</t>
  </si>
  <si>
    <t xml:space="preserve">Needs reliable termination data and a personal-contact policy; legal sensitivity is high.</t>
  </si>
  <si>
    <t xml:space="preserve">Candidate Experience</t>
  </si>
  <si>
    <t xml:space="preserve">Feedback from applicants across hiring stages.</t>
  </si>
  <si>
    <t xml:space="preserve">Recruiting stages, requisition and applicant data</t>
  </si>
  <si>
    <t xml:space="preserve">SF Recruiting (planned)</t>
  </si>
  <si>
    <t xml:space="preserve">Low-Medium</t>
  </si>
  <si>
    <t xml:space="preserve">Depends on Recruiting being live and on applicant-privacy rules; usually a Phase 2 candidate.</t>
  </si>
  <si>
    <t xml:space="preserve">360 / Multi-Rater</t>
  </si>
  <si>
    <t xml:space="preserve">Subjects receive feedback from self and evaluators; workflows can be predefined, nominated or open.</t>
  </si>
  <si>
    <t xml:space="preserve">EC reporting lines, subject and evaluator lists, competency model</t>
  </si>
  <si>
    <t xml:space="preserve">EC; PMGM overlap decision</t>
  </si>
  <si>
    <t xml:space="preserve">Medium</t>
  </si>
  <si>
    <t xml:space="preserve">Needs competency content, rater workflow and a decision against PMGM multi-rater; plan waves.</t>
  </si>
  <si>
    <t xml:space="preserve">Manager dashboards, upward feedback and tracked action plans.</t>
  </si>
  <si>
    <t xml:space="preserve">EC manager hierarchy; engagement results</t>
  </si>
  <si>
    <t xml:space="preserve">Engagement or pulse results</t>
  </si>
  <si>
    <t xml:space="preserve">Builds on engagement; the key risks are small-team anonymity and manager capability.</t>
  </si>
  <si>
    <t xml:space="preserve">Feedback on tools and services, including SuccessFactors itself.</t>
  </si>
  <si>
    <t xml:space="preserve">EC participants; optional ITSM events</t>
  </si>
  <si>
    <t xml:space="preserve">Optional ITSM integration</t>
  </si>
  <si>
    <t xml:space="preserve">SF-adoption pulse is a quick win; ITSM integration is Phase 2.</t>
  </si>
  <si>
    <t xml:space="preserve">Internal Moves &amp; Return from Leave</t>
  </si>
  <si>
    <t xml:space="preserve">Surveys after promotion, transfer, leave return or manager change.</t>
  </si>
  <si>
    <t xml:space="preserve">EC event reasons, status changes</t>
  </si>
  <si>
    <t xml:space="preserve">EC events; data quality</t>
  </si>
  <si>
    <t xml:space="preserve">Same mechanics as onboarding; usually follows once triggers are proven.</t>
  </si>
  <si>
    <t xml:space="preserve">Well-Being &amp; Inclusion</t>
  </si>
  <si>
    <t xml:space="preserve">Targeted surveys on well-being, belonging and inclusion.</t>
  </si>
  <si>
    <t xml:space="preserve">EC demographics where permitted</t>
  </si>
  <si>
    <t xml:space="preserve">Legal approval for sensitive data</t>
  </si>
  <si>
    <t xml:space="preserve">Content and legal review dominate; the platform work is light.</t>
  </si>
  <si>
    <t xml:space="preserve">Change &amp; Project Pulses</t>
  </si>
  <si>
    <t xml:space="preserve">Rapid feedback on restructuring, policy change or return-to-office.</t>
  </si>
  <si>
    <t xml:space="preserve">EC participant selection</t>
  </si>
  <si>
    <t xml:space="preserve">Easy once the foundation exists; needs governance to avoid fatigue.</t>
  </si>
  <si>
    <t xml:space="preserve">Scoping Questionnaire</t>
  </si>
  <si>
    <t xml:space="preserve">200 questions across 19 sections. Filter by section, use case, priority, owner or needed-by. Complete the yellow columns.</t>
  </si>
  <si>
    <t xml:space="preserve">Use case(s)</t>
  </si>
  <si>
    <t xml:space="preserve">Why we ask / guidance</t>
  </si>
  <si>
    <t xml:space="preserve">Response type</t>
  </si>
  <si>
    <t xml:space="preserve">Kick-off</t>
  </si>
  <si>
    <t xml:space="preserve">Primary owner</t>
  </si>
  <si>
    <t xml:space="preserve">Client response</t>
  </si>
  <si>
    <t xml:space="preserve">Status</t>
  </si>
  <si>
    <t xml:space="preserve">Respondent</t>
  </si>
  <si>
    <t xml:space="preserve">Follow-up / notes</t>
  </si>
  <si>
    <t xml:space="preserve">CTX-01</t>
  </si>
  <si>
    <t xml:space="preserve">ALL</t>
  </si>
  <si>
    <t xml:space="preserve">What are the top three business outcomes you expect from Qualtrics EX (for example lower regretted attrition, higher engagement, better onboarding, stronger managers, SuccessFactors adoption)? Please rank them.</t>
  </si>
  <si>
    <t xml:space="preserve">Outcomes decide which use cases go first and how success is judged.</t>
  </si>
  <si>
    <t xml:space="preserve">List / table</t>
  </si>
  <si>
    <t xml:space="preserve">★</t>
  </si>
  <si>
    <t xml:space="preserve">Executive Sponsor</t>
  </si>
  <si>
    <t xml:space="preserve">Not started</t>
  </si>
  <si>
    <t xml:space="preserve">CTX-02</t>
  </si>
  <si>
    <t xml:space="preserve">Who is the executive sponsor, and what decision rights do they hold over scope, budget and the go-live date?</t>
  </si>
  <si>
    <t xml:space="preserve">Avoids stalled decisions in a 3-4 month window.</t>
  </si>
  <si>
    <t xml:space="preserve">Free text</t>
  </si>
  <si>
    <t xml:space="preserve">CTX-03</t>
  </si>
  <si>
    <t xml:space="preserve">Which employee listening tools, vendors and programmes run today (engagement, pulse, onboarding, exit, 360)? Please share the last 24 months of results, response rates and survey instruments.</t>
  </si>
  <si>
    <t xml:space="preserve">Gives baselines and reusable content. Qualtrics itself advises gathering previous reports as a reference point.</t>
  </si>
  <si>
    <t xml:space="preserve">HR / People Leadership</t>
  </si>
  <si>
    <t xml:space="preserve">CTX-04</t>
  </si>
  <si>
    <t xml:space="preserve">Which existing survey programmes must be replaced, kept, or run in parallel at go-live?</t>
  </si>
  <si>
    <t xml:space="preserve">Drives migration, trend continuity and communication.</t>
  </si>
  <si>
    <t xml:space="preserve">Single choice</t>
  </si>
  <si>
    <t xml:space="preserve">CTX-05</t>
  </si>
  <si>
    <t xml:space="preserve">Workforce profile: headcount, countries, legal entities, worker types (employees, contingent, interns), share of shift or deskless staff, and languages spoken.</t>
  </si>
  <si>
    <t xml:space="preserve">Sizes licences, languages, delivery channels and test scope.</t>
  </si>
  <si>
    <t xml:space="preserve">CTX-06</t>
  </si>
  <si>
    <t xml:space="preserve">Is the go-live date fixed? What drives it (contract start, board commitment, business event) and what is the cost of moving it by four weeks?</t>
  </si>
  <si>
    <t xml:space="preserve">Tells us whether to cut scope or move the date when trade-offs appear.</t>
  </si>
  <si>
    <t xml:space="preserve">CTX-07</t>
  </si>
  <si>
    <t xml:space="preserve">Which other programmes compete for the same HR, HRIS, IT and communications people over the next four months (other SF module go-lives, payroll cycles, M&amp;A, restructuring)?</t>
  </si>
  <si>
    <t xml:space="preserve">Capacity clashes are a leading cause of slippage.</t>
  </si>
  <si>
    <t xml:space="preserve">Project / PMO</t>
  </si>
  <si>
    <t xml:space="preserve">CTX-08</t>
  </si>
  <si>
    <t xml:space="preserve">Who will own EX after go-live (HR, People Analytics, IT, Internal Comms) and how large is the run team?</t>
  </si>
  <si>
    <t xml:space="preserve">The design must match the team that will operate it.</t>
  </si>
  <si>
    <t xml:space="preserve">CTX-09</t>
  </si>
  <si>
    <t xml:space="preserve">Is there an EX framework, employee value proposition or people strategy that survey content and dashboards should align to?</t>
  </si>
  <si>
    <t xml:space="preserve">Keeps content and reporting consistent with strategy.</t>
  </si>
  <si>
    <t xml:space="preserve">CTX-10</t>
  </si>
  <si>
    <t xml:space="preserve">What has worked or failed in past listening efforts (low participation, survey fatigue, no visible action, trust issues)?</t>
  </si>
  <si>
    <t xml:space="preserve">Prevents repeating known failures.</t>
  </si>
  <si>
    <t xml:space="preserve">CTX-11</t>
  </si>
  <si>
    <t xml:space="preserve">Is Qualtrics already used elsewhere in the organisation (CX, brand, research)? If so, share tenant details, data centre and existing administrators.</t>
  </si>
  <si>
    <t xml:space="preserve">Lets us reuse existing tenant, SSO and security approvals.</t>
  </si>
  <si>
    <t xml:space="preserve">IT / Architecture</t>
  </si>
  <si>
    <t xml:space="preserve">USE-01</t>
  </si>
  <si>
    <t xml:space="preserve">For each use case on the Use Case Map tab, mark Wave 1 (go-live), Phase 2, or Out of scope.</t>
  </si>
  <si>
    <t xml:space="preserve">The core scoping decision; everything else follows from it.</t>
  </si>
  <si>
    <t xml:space="preserve">USE-02</t>
  </si>
  <si>
    <t xml:space="preserve">For each in-scope use case, who is the business owner, who is the audience, and what decision will the data drive?</t>
  </si>
  <si>
    <t xml:space="preserve">A use case without an owner and a decision becomes shelfware.</t>
  </si>
  <si>
    <t xml:space="preserve">USE-03</t>
  </si>
  <si>
    <t xml:space="preserve">If only one or two use cases could be live in 3-4 months, which would they be and why?</t>
  </si>
  <si>
    <t xml:space="preserve">Forces a realistic minimum viable launch.</t>
  </si>
  <si>
    <t xml:space="preserve">USE-04</t>
  </si>
  <si>
    <t xml:space="preserve">ONB, EXT, CAN</t>
  </si>
  <si>
    <t xml:space="preserve">Which use cases depend on SuccessFactors modules that are not yet live, and could they start with a file-based or manual trigger?</t>
  </si>
  <si>
    <t xml:space="preserve">Lets lifecycle use cases launch without waiting for every module.</t>
  </si>
  <si>
    <t xml:space="preserve">HRIS / SuccessFactors Lead</t>
  </si>
  <si>
    <t xml:space="preserve">USE-05</t>
  </si>
  <si>
    <t xml:space="preserve">Beyond the standard list, are there other use cases (M&amp;A integration, return-to-office, restructuring, safety culture, well-being, inclusion, SuccessFactors adoption)?</t>
  </si>
  <si>
    <t xml:space="preserve">Surfaces ad hoc needs early so the design stays flexible.</t>
  </si>
  <si>
    <t xml:space="preserve">Multi-select</t>
  </si>
  <si>
    <t xml:space="preserve">USE-06</t>
  </si>
  <si>
    <t xml:space="preserve">Which populations are in scope for each use case (all employees, countries, entities, job families, new joiners, leavers, contingent workers)?</t>
  </si>
  <si>
    <t xml:space="preserve">Determines the participant file, licences and legal review.</t>
  </si>
  <si>
    <t xml:space="preserve">USE-07</t>
  </si>
  <si>
    <t xml:space="preserve">How often must each use case run (annual, quarterly, event-triggered, always-on), and what are the blackout periods (year-end, payroll, appraisal cycles, local holidays)?</t>
  </si>
  <si>
    <t xml:space="preserve">Builds the listening calendar and avoids fatigue and clashes.</t>
  </si>
  <si>
    <t xml:space="preserve">USE-08</t>
  </si>
  <si>
    <t xml:space="preserve">Will one listening calendar govern engagement, pulse and lifecycle surveys, and who owns it?</t>
  </si>
  <si>
    <t xml:space="preserve">Caps total surveys per employee and avoids overlap.</t>
  </si>
  <si>
    <t xml:space="preserve">USE-09</t>
  </si>
  <si>
    <t xml:space="preserve">360, ENG, PLS</t>
  </si>
  <si>
    <t xml:space="preserve">Which surveys should be tied to the SF PMGM cycle (for example 360 feedback inside the performance cycle, or a post-review pulse)?</t>
  </si>
  <si>
    <t xml:space="preserve">Aligns timing and avoids stacking requests on managers.</t>
  </si>
  <si>
    <t xml:space="preserve">Talent &amp; L&amp;D</t>
  </si>
  <si>
    <t xml:space="preserve">COM-01</t>
  </si>
  <si>
    <t xml:space="preserve">How is Qualtrics EX contracted: SAP Endorsed Apps agreement, directly with Qualtrics, or via a reseller? Which products or SKUs (Engagement, Pulse, Onboarding, Exit, 360, Lifecycle, Employee Technology Experience)?</t>
  </si>
  <si>
    <t xml:space="preserve">Licensed products set what can be configured and when. SAP and Qualtrics announced an Endorsed Apps route in January 2025.</t>
  </si>
  <si>
    <t xml:space="preserve">Finance / Procurement</t>
  </si>
  <si>
    <t xml:space="preserve">COM-02</t>
  </si>
  <si>
    <t xml:space="preserve">What are the licensed participant counts per product, and the contract start date and term? Does the licence start before the build begins?</t>
  </si>
  <si>
    <t xml:space="preserve">A late licence start blocks tenant access and build.</t>
  </si>
  <si>
    <t xml:space="preserve">Number</t>
  </si>
  <si>
    <t xml:space="preserve">COM-03</t>
  </si>
  <si>
    <t xml:space="preserve">Is the Qualtrics tenant (brand) already provisioned, and in which data centre region?</t>
  </si>
  <si>
    <t xml:space="preserve">Region drives data residency and is hard to change later.</t>
  </si>
  <si>
    <t xml:space="preserve">Yes / No</t>
  </si>
  <si>
    <t xml:space="preserve">COM-04</t>
  </si>
  <si>
    <t xml:space="preserve">RPT</t>
  </si>
  <si>
    <t xml:space="preserve">Are AI features (Qualtrics Assist, text analytics, conversational feedback) licensed, and permitted under your internal AI policy?</t>
  </si>
  <si>
    <t xml:space="preserve">AI features may need separate approval.</t>
  </si>
  <si>
    <t xml:space="preserve">COM-05</t>
  </si>
  <si>
    <t xml:space="preserve">What budget is approved for implementation, change management, translation and run costs (admin effort, partner support)?</t>
  </si>
  <si>
    <t xml:space="preserve">Sets realistic scope.</t>
  </si>
  <si>
    <t xml:space="preserve">COM-06</t>
  </si>
  <si>
    <t xml:space="preserve">Who is the implementation partner, and which SAP and Qualtrics contacts (account executives, solution architects) are engaged?</t>
  </si>
  <si>
    <t xml:space="preserve">Shows who can unblock licence, tenant and integration questions.</t>
  </si>
  <si>
    <t xml:space="preserve">COM-07</t>
  </si>
  <si>
    <t xml:space="preserve">What is the status of procurement, vendor risk assessment and data processing agreements for Qualtrics, and how long do these normally take?</t>
  </si>
  <si>
    <t xml:space="preserve">Security and legal reviews can exceed eight weeks.</t>
  </si>
  <si>
    <t xml:space="preserve">Security &amp; Privacy</t>
  </si>
  <si>
    <t xml:space="preserve">COM-08</t>
  </si>
  <si>
    <t xml:space="preserve">INT</t>
  </si>
  <si>
    <t xml:space="preserve">Are there other costs to plan for: integration middleware (SAP BTP / Integration Suite), SSO, premium support, benchmarks?</t>
  </si>
  <si>
    <t xml:space="preserve">Avoids late surprises.</t>
  </si>
  <si>
    <t xml:space="preserve">ENG-01</t>
  </si>
  <si>
    <t xml:space="preserve">ENG</t>
  </si>
  <si>
    <t xml:space="preserve">Is there an existing engagement model or index (composite index, eNPS, drivers)? Must trend continuity with historical results be preserved?</t>
  </si>
  <si>
    <t xml:space="preserve">Changing items breaks year-on-year comparison.</t>
  </si>
  <si>
    <t xml:space="preserve">ENG-02</t>
  </si>
  <si>
    <t xml:space="preserve">Will you use the Qualtrics best-practice engagement library, a custom model, or a hybrid? Who approves final content?</t>
  </si>
  <si>
    <t xml:space="preserve">Decides build effort, translation scope and approval path.</t>
  </si>
  <si>
    <t xml:space="preserve">ENG-03</t>
  </si>
  <si>
    <t xml:space="preserve">Census or sample? What participation target do you set, and what was achieved last time?</t>
  </si>
  <si>
    <t xml:space="preserve">Sets licence volume, reminder strategy and success KPI.</t>
  </si>
  <si>
    <t xml:space="preserve">ENG-04</t>
  </si>
  <si>
    <t xml:space="preserve">Which results cuts are required (org unit, location, job level, tenure, age band, gender, manager)? What is the minimum group size for reporting?</t>
  </si>
  <si>
    <t xml:space="preserve">Drives data attributes needed from EC and the anonymity threshold.</t>
  </si>
  <si>
    <t xml:space="preserve">People Analytics</t>
  </si>
  <si>
    <t xml:space="preserve">ENG-05</t>
  </si>
  <si>
    <t xml:space="preserve">Will the survey be anonymous or confidential? Will SF attributes be attached to responses, and how will employees be told?</t>
  </si>
  <si>
    <t xml:space="preserve">The promise made to employees must match the technical design.</t>
  </si>
  <si>
    <t xml:space="preserve">Legal / DPO / Employee Relations</t>
  </si>
  <si>
    <t xml:space="preserve">ENG-06</t>
  </si>
  <si>
    <t xml:space="preserve">Is benchmarking required (internal, industry, external)? Against which peer groups?</t>
  </si>
  <si>
    <t xml:space="preserve">Determines licensed benchmark content and comparisons.</t>
  </si>
  <si>
    <t xml:space="preserve">ENG-07</t>
  </si>
  <si>
    <t xml:space="preserve">Who sees results (executives, HRBPs, all people managers), and when? What is the cascade process?</t>
  </si>
  <si>
    <t xml:space="preserve">Defines roles, dashboard design and release gates.</t>
  </si>
  <si>
    <t xml:space="preserve">ENG-08</t>
  </si>
  <si>
    <t xml:space="preserve">How will open-text comments be handled: languages, redaction of names, and escalation of sensitive content (harassment, safety)?</t>
  </si>
  <si>
    <t xml:space="preserve">Duty-of-care and anonymity obligations.</t>
  </si>
  <si>
    <t xml:space="preserve">ENG-09</t>
  </si>
  <si>
    <t xml:space="preserve">ENG, MGR</t>
  </si>
  <si>
    <t xml:space="preserve">What are managers expected to do with results (action plans, deadlines, tracking)? Should plans link to SF goals or development plans?</t>
  </si>
  <si>
    <t xml:space="preserve">Closing the loop is what makes engagement credible.</t>
  </si>
  <si>
    <t xml:space="preserve">ENG-10</t>
  </si>
  <si>
    <t xml:space="preserve">What survey window and reminder pattern are planned, and how will frontline or deskless staff take part (mobile, kiosk, QR code, personal links)?</t>
  </si>
  <si>
    <t xml:space="preserve">Participation fails when access is not designed in.</t>
  </si>
  <si>
    <t xml:space="preserve">Internal Communications</t>
  </si>
  <si>
    <t xml:space="preserve">ENG-11</t>
  </si>
  <si>
    <t xml:space="preserve">Do you expect to link engagement to attrition, performance (PMGM ratings) or other HR outcomes, and is that permitted by policy and employee representatives?</t>
  </si>
  <si>
    <t xml:space="preserve">Joining survey and HR data is valuable but needs legal and trust safeguards.</t>
  </si>
  <si>
    <t xml:space="preserve">PLS-01</t>
  </si>
  <si>
    <t xml:space="preserve">PLS</t>
  </si>
  <si>
    <t xml:space="preserve">Which pulse programmes do you need (always-on, quarterly, topic-based, post-event, manager pulse)?</t>
  </si>
  <si>
    <t xml:space="preserve">Defines templates, licences and cadence.</t>
  </si>
  <si>
    <t xml:space="preserve">PLS-02</t>
  </si>
  <si>
    <t xml:space="preserve">Who may launch a pulse (central HR only, or delegated to HRBPs and managers)? What caps prevent fatigue (maximum surveys per employee per quarter)?</t>
  </si>
  <si>
    <t xml:space="preserve">Governance prevents survey overload.</t>
  </si>
  <si>
    <t xml:space="preserve">PLS-03</t>
  </si>
  <si>
    <t xml:space="preserve">How will respondents be sampled (full population, random sample, rotating cohorts)?</t>
  </si>
  <si>
    <t xml:space="preserve">Affects participant lists and statistical validity.</t>
  </si>
  <si>
    <t xml:space="preserve">PLS-04</t>
  </si>
  <si>
    <t xml:space="preserve">Who curates the standard pulse question bank, and what is the target length (items and minutes)?</t>
  </si>
  <si>
    <t xml:space="preserve">Keeps pulses short and comparable.</t>
  </si>
  <si>
    <t xml:space="preserve">PLS-05</t>
  </si>
  <si>
    <t xml:space="preserve">Which delivery channels are needed: email, SF home page or Engagement card, MS Teams, Slack, SMS, mobile, QR codes?</t>
  </si>
  <si>
    <t xml:space="preserve">Channels determine integration effort and response rates.</t>
  </si>
  <si>
    <t xml:space="preserve">PLS-06</t>
  </si>
  <si>
    <t xml:space="preserve">PLS, ETX</t>
  </si>
  <si>
    <t xml:space="preserve">For ad hoc, event-driven pulses (restructuring, policy change, SuccessFactors go-live), what approval workflow and turnaround time are expected?</t>
  </si>
  <si>
    <t xml:space="preserve">Speed versus control trade-off.</t>
  </si>
  <si>
    <t xml:space="preserve">PLS-07</t>
  </si>
  <si>
    <t xml:space="preserve">Should low scores trigger real-time alerts or cases to HRBPs or managers? Which case or ticketing system would receive them?</t>
  </si>
  <si>
    <t xml:space="preserve">Defines workflow and integration scope.</t>
  </si>
  <si>
    <t xml:space="preserve">PLS-08</t>
  </si>
  <si>
    <t xml:space="preserve">Who sees pulse results, at what minimum group size, and how quickly after close?</t>
  </si>
  <si>
    <t xml:space="preserve">Sets expectations and dashboard design.</t>
  </si>
  <si>
    <t xml:space="preserve">LCE-01</t>
  </si>
  <si>
    <t xml:space="preserve">Which lifecycle moments are in scope: candidate, pre-boarding, Day 1 / 30 / 90 / 180, probation end, promotion, transfer, return from leave, manager change, exit (voluntary or involuntary), alumni?</t>
  </si>
  <si>
    <t xml:space="preserve">Each moment needs a trigger, template and owner.</t>
  </si>
  <si>
    <t xml:space="preserve">LCE-02</t>
  </si>
  <si>
    <t xml:space="preserve">ONB, EXT</t>
  </si>
  <si>
    <t xml:space="preserve">For each moment, what is the EC trigger (hire date, position start, event reason, employment status, termination date)? Which event reasons apply?</t>
  </si>
  <si>
    <t xml:space="preserve">Triggers must be reliable and mapped to configured event reasons.</t>
  </si>
  <si>
    <t xml:space="preserve">LCE-03</t>
  </si>
  <si>
    <t xml:space="preserve">ONB</t>
  </si>
  <si>
    <t xml:space="preserve">Is SAP SuccessFactors Onboarding (or another tool) live at go-live? If not, what is the system of record for new-hire tasks and data?</t>
  </si>
  <si>
    <t xml:space="preserve">Determines whether onboarding surveys can use task or milestone data.</t>
  </si>
  <si>
    <t xml:space="preserve">LCE-04</t>
  </si>
  <si>
    <t xml:space="preserve">What are the monthly hiring volumes by country, and what survey cadence is wanted (days since hire) for new hire, manager and buddy?</t>
  </si>
  <si>
    <t xml:space="preserve">Sizes the programme and tells us if results will reach reportable group sizes.</t>
  </si>
  <si>
    <t xml:space="preserve">Talent Acquisition</t>
  </si>
  <si>
    <t xml:space="preserve">EXT</t>
  </si>
  <si>
    <t xml:space="preserve">How should exit surveys work: which exit types are included (resignation, retirement, dismissal, contract end), and should they be sent before or after the last day?</t>
  </si>
  <si>
    <t xml:space="preserve">Exit timing and exclusions are sensitive and legal-critical.</t>
  </si>
  <si>
    <t xml:space="preserve">LCE-06</t>
  </si>
  <si>
    <t xml:space="preserve">After offboarding, how will leavers be reached (personal email) and what are the policy and legal limits on holding that data and on alumni contact?</t>
  </si>
  <si>
    <t xml:space="preserve">Corporate email is often disabled at exit.</t>
  </si>
  <si>
    <t xml:space="preserve">LCE-07</t>
  </si>
  <si>
    <t xml:space="preserve">Will a self-service survey complement or replace HR-led exit interviews? Is manager input about the leaver required?</t>
  </si>
  <si>
    <t xml:space="preserve">Defines the exit experience and data model.</t>
  </si>
  <si>
    <t xml:space="preserve">LCE-08</t>
  </si>
  <si>
    <t xml:space="preserve">CAN</t>
  </si>
  <si>
    <t xml:space="preserve">Is Recruiting Management in scope and live? At which stages should candidate surveys trigger (applied, interviewed, offered, declined, hired), and what applicant-privacy limits apply?</t>
  </si>
  <si>
    <t xml:space="preserve">Candidate data often sits in a different system with different privacy rules.</t>
  </si>
  <si>
    <t xml:space="preserve">LCE-09</t>
  </si>
  <si>
    <t xml:space="preserve">LCE</t>
  </si>
  <si>
    <t xml:space="preserve">Are surveys needed for internal moves, promotions, return from leave or manager change?</t>
  </si>
  <si>
    <t xml:space="preserve">Candidate Phase 2 moments.</t>
  </si>
  <si>
    <t xml:space="preserve">LCE-10</t>
  </si>
  <si>
    <t xml:space="preserve">When a new hire or leaver raises a serious issue (harassment, safety, discrimination), who is notified, how fast, and what happens to anonymity?</t>
  </si>
  <si>
    <t xml:space="preserve">Duty-of-care protocol must exist before launch.</t>
  </si>
  <si>
    <t xml:space="preserve">LCE-11</t>
  </si>
  <si>
    <t xml:space="preserve">ONB, EXT, MGR</t>
  </si>
  <si>
    <t xml:space="preserve">Do managers see onboarding and exit results for their teams, and under what anonymity rules?</t>
  </si>
  <si>
    <t xml:space="preserve">Balances insight and confidentiality.</t>
  </si>
  <si>
    <t xml:space="preserve">LCE-12</t>
  </si>
  <si>
    <t xml:space="preserve">How reliable are hire and termination dates, business email and manager assignment in EC today? Are back-dated, future-dated or mass-uploaded records common?</t>
  </si>
  <si>
    <t xml:space="preserve">Lifecycle triggers fire on this data; poor quality means missed or wrong surveys.</t>
  </si>
  <si>
    <t xml:space="preserve">LCE-13</t>
  </si>
  <si>
    <t xml:space="preserve">What annual volumes do you expect for each lifecycle type?</t>
  </si>
  <si>
    <t xml:space="preserve">Sizes testing and licences.</t>
  </si>
  <si>
    <t xml:space="preserve">LCE-14</t>
  </si>
  <si>
    <t xml:space="preserve">Which countries have specific rules for onboarding or exit surveys (consultation, consent, restricted data)?</t>
  </si>
  <si>
    <t xml:space="preserve">Avoids country-level blocks on go-live.</t>
  </si>
  <si>
    <t xml:space="preserve">360-01</t>
  </si>
  <si>
    <t xml:space="preserve">360</t>
  </si>
  <si>
    <t xml:space="preserve">Is 360 in scope for go-live? What is its purpose: development only, leadership assessment, talent-review input, or performance input?</t>
  </si>
  <si>
    <t xml:space="preserve">Purpose sets confidentiality, report design and legal review.</t>
  </si>
  <si>
    <t xml:space="preserve">360-02</t>
  </si>
  <si>
    <t xml:space="preserve">SF PMGM is already live. Does it already run multi-rater or 360 feedback? Which tool will be the system of record for 360 (Qualtrics 360 or PMGM), and what drives the choice?</t>
  </si>
  <si>
    <t xml:space="preserve">Avoids two competing 360 processes and duplicated rater fatigue.</t>
  </si>
  <si>
    <t xml:space="preserve">360-03</t>
  </si>
  <si>
    <t xml:space="preserve">Who are the subjects (all managers, senior leaders, high potentials)? How many, and how often (annual, cycle-aligned)?</t>
  </si>
  <si>
    <t xml:space="preserve">Sizes licences and workload.</t>
  </si>
  <si>
    <t xml:space="preserve">360-04</t>
  </si>
  <si>
    <t xml:space="preserve">Which workflow model applies: predefined subject-evaluator pairs, subject nominates from a predefined list, or open nomination? Is manager approval of raters required?</t>
  </si>
  <si>
    <t xml:space="preserve">These are the standard Qualtrics 360 workflows and each needs different data.</t>
  </si>
  <si>
    <t xml:space="preserve">360-05</t>
  </si>
  <si>
    <t xml:space="preserve">Which rater categories (manager, peers, direct reports, skip-level, customers, external) and what minimum raters per category before results show?</t>
  </si>
  <si>
    <t xml:space="preserve">Anonymity depends on minimums.</t>
  </si>
  <si>
    <t xml:space="preserve">360-06</t>
  </si>
  <si>
    <t xml:space="preserve">Should the project run in waves (nominations, evaluations, report release), and how long should each wave last?</t>
  </si>
  <si>
    <t xml:space="preserve">Qualtrics recommends waves for 360 projects; durations drive the calendar.</t>
  </si>
  <si>
    <t xml:space="preserve">360-07</t>
  </si>
  <si>
    <t xml:space="preserve">Is there a leadership competency model? How many competencies and items, which rating scale, which open-ended questions, which scoring categories, and which translations?</t>
  </si>
  <si>
    <t xml:space="preserve">Question set and scoring categories must be final before build.</t>
  </si>
  <si>
    <t xml:space="preserve">360-08</t>
  </si>
  <si>
    <t xml:space="preserve">How will subject and evaluator data be derived from EC: reporting lines, dotted-line or matrix managers, project teams?</t>
  </si>
  <si>
    <t xml:space="preserve">Rater lists are the main data dependency of 360.</t>
  </si>
  <si>
    <t xml:space="preserve">360-09</t>
  </si>
  <si>
    <t xml:space="preserve">What should subject reports contain, and who sees them (subject, manager, HRBP, coach)? Are norm groups or benchmarks needed?</t>
  </si>
  <si>
    <t xml:space="preserve">Drives report design and access rules.</t>
  </si>
  <si>
    <t xml:space="preserve">360-10</t>
  </si>
  <si>
    <t xml:space="preserve">How do 360 results flow to development plans (SF Succession &amp; Development, Learning) or stay outside SF?</t>
  </si>
  <si>
    <t xml:space="preserve">Defines integration and confidentiality.</t>
  </si>
  <si>
    <t xml:space="preserve">360-11</t>
  </si>
  <si>
    <t xml:space="preserve">Who writes invitation and reminder messages, in which languages, and who coaches subjects on results?</t>
  </si>
  <si>
    <t xml:space="preserve">Messaging and coaching drive trust and quality.</t>
  </si>
  <si>
    <t xml:space="preserve">360-12</t>
  </si>
  <si>
    <t xml:space="preserve">Are external evaluators (customers, vendors) or contingent workers included, and how is their data handled?</t>
  </si>
  <si>
    <t xml:space="preserve">External participants have different data and access needs.</t>
  </si>
  <si>
    <t xml:space="preserve">360-13</t>
  </si>
  <si>
    <t xml:space="preserve">May 360 results be used in talent, promotion or pay decisions? What do the legal team and employee representatives say?</t>
  </si>
  <si>
    <t xml:space="preserve">Use of results changes legal and consultation requirements.</t>
  </si>
  <si>
    <t xml:space="preserve">360-14</t>
  </si>
  <si>
    <t xml:space="preserve">Which subjects will pilot, and when? What success criteria would let you scale?</t>
  </si>
  <si>
    <t xml:space="preserve">A small pilot lowers launch risk.</t>
  </si>
  <si>
    <t xml:space="preserve">MGR-01</t>
  </si>
  <si>
    <t xml:space="preserve">MGR</t>
  </si>
  <si>
    <t xml:space="preserve">Is manager effectiveness a named use case (upward feedback, manager pulse, manager scorecard)?</t>
  </si>
  <si>
    <t xml:space="preserve">Decides content and reporting scope.</t>
  </si>
  <si>
    <t xml:space="preserve">MGR-02</t>
  </si>
  <si>
    <t xml:space="preserve">What must managers do after results arrive: required action plans, deadlines, tracking and nudges?</t>
  </si>
  <si>
    <t xml:space="preserve">Defines the action-planning module scope.</t>
  </si>
  <si>
    <t xml:space="preserve">MGR-03</t>
  </si>
  <si>
    <t xml:space="preserve">Do you have manager development content (internal or from Qualtrics) to recommend alongside results? Should it link to SF Learning?</t>
  </si>
  <si>
    <t xml:space="preserve">Turns insight into help.</t>
  </si>
  <si>
    <t xml:space="preserve">MGR-04</t>
  </si>
  <si>
    <t xml:space="preserve">How is a manager defined for reporting (direct reports, full hierarchy roll-up, matrix)? What happens when a manager has fewer reports than the minimum group size?</t>
  </si>
  <si>
    <t xml:space="preserve">Small teams are the most common anonymity problem.</t>
  </si>
  <si>
    <t xml:space="preserve">MGR-05</t>
  </si>
  <si>
    <t xml:space="preserve">What follow-up applies to low-scoring teams (HRBP involvement, targeted support)?</t>
  </si>
  <si>
    <t xml:space="preserve">Defines escalation rules.</t>
  </si>
  <si>
    <t xml:space="preserve">MGR-06</t>
  </si>
  <si>
    <t xml:space="preserve">Who tracks action-plan completion, and how is it reported to executives?</t>
  </si>
  <si>
    <t xml:space="preserve">Accountability for outcomes.</t>
  </si>
  <si>
    <t xml:space="preserve">MGR-07</t>
  </si>
  <si>
    <t xml:space="preserve">Should action plans link to SF goals, PMGM or development plans?</t>
  </si>
  <si>
    <t xml:space="preserve">Decides the return integration to SF.</t>
  </si>
  <si>
    <t xml:space="preserve">MGR-08</t>
  </si>
  <si>
    <t xml:space="preserve">How many managers need access, and will they use dashboards (SSO) or receive PDFs or emails?</t>
  </si>
  <si>
    <t xml:space="preserve">Drives licence, role and SSO design.</t>
  </si>
  <si>
    <t xml:space="preserve">MGR-09</t>
  </si>
  <si>
    <t xml:space="preserve">Who will train managers to read results and run team discussions? Are conversation guides needed?</t>
  </si>
  <si>
    <t xml:space="preserve">Manager capability decides whether action happens.</t>
  </si>
  <si>
    <t xml:space="preserve">ETX-01</t>
  </si>
  <si>
    <t xml:space="preserve">ETX</t>
  </si>
  <si>
    <t xml:space="preserve">Is Employee Technology Experience in scope? Which tools and services (laptops, VPN, collaboration, service desk, SuccessFactors itself)?</t>
  </si>
  <si>
    <t xml:space="preserve">Decides if IT-side stakeholders join discovery.</t>
  </si>
  <si>
    <t xml:space="preserve">ETX-02</t>
  </si>
  <si>
    <t xml:space="preserve">Who owns it (CIO, service desk, digital workplace) and is there sponsor and budget?</t>
  </si>
  <si>
    <t xml:space="preserve">Needs an owner outside HR.</t>
  </si>
  <si>
    <t xml:space="preserve">ETX-03</t>
  </si>
  <si>
    <t xml:space="preserve">Which ITSM or ticketing tool is in use (ServiceNow, Jira, other)? Should low scores create tickets?</t>
  </si>
  <si>
    <t xml:space="preserve">Closing the loop on IT issues needs integration.</t>
  </si>
  <si>
    <t xml:space="preserve">ETX-04</t>
  </si>
  <si>
    <t xml:space="preserve">What triggers these surveys: ticket closure, device refresh, a new SF release, or a periodic cycle?</t>
  </si>
  <si>
    <t xml:space="preserve">Defines event sources.</t>
  </si>
  <si>
    <t xml:space="preserve">ETX-05</t>
  </si>
  <si>
    <t xml:space="preserve">ETX, PLS</t>
  </si>
  <si>
    <t xml:space="preserve">Do you want to measure employee and manager experience of SuccessFactors itself (EC self-service, PMGM, new modules) right after go-live?</t>
  </si>
  <si>
    <t xml:space="preserve">Fast win that also supports adoption.</t>
  </si>
  <si>
    <t xml:space="preserve">ETX-06</t>
  </si>
  <si>
    <t xml:space="preserve">Is device, location or application data beyond EC needed for segmentation?</t>
  </si>
  <si>
    <t xml:space="preserve">Adds data sources.</t>
  </si>
  <si>
    <t xml:space="preserve">ETX-07</t>
  </si>
  <si>
    <t xml:space="preserve">Which technology KPIs are targeted (satisfaction, effort, time-to-resolve)?</t>
  </si>
  <si>
    <t xml:space="preserve">Aligns metrics.</t>
  </si>
  <si>
    <t xml:space="preserve">SUR-01</t>
  </si>
  <si>
    <t xml:space="preserve">Which languages are required per use case? What is the source language, translation method (human, machine plus review) and who validates?</t>
  </si>
  <si>
    <t xml:space="preserve">Translation lead time can decide the go-live date.</t>
  </si>
  <si>
    <t xml:space="preserve">SUR-02</t>
  </si>
  <si>
    <t xml:space="preserve">Which rating scales and wording standards must be used (5, 7 or 10 point, agree/disagree, eNPS) to stay comparable with history?</t>
  </si>
  <si>
    <t xml:space="preserve">Standardising early avoids rework.</t>
  </si>
  <si>
    <t xml:space="preserve">SUR-03</t>
  </si>
  <si>
    <t xml:space="preserve">Which demographic attributes come from SF (hidden metadata) and which are asked? Are any categories restricted in certain countries (gender, ethnicity, age, disability)?</t>
  </si>
  <si>
    <t xml:space="preserve">Legal and privacy constraints vary by country.</t>
  </si>
  <si>
    <t xml:space="preserve">SUR-04</t>
  </si>
  <si>
    <t xml:space="preserve">What privacy notice, consent text and mandatory statements must appear on each survey?</t>
  </si>
  <si>
    <t xml:space="preserve">Must be reviewed before build.</t>
  </si>
  <si>
    <t xml:space="preserve">SUR-05</t>
  </si>
  <si>
    <t xml:space="preserve">What branding is required (logo, colours, tone) and which accessibility standard (for example WCAG) must surveys meet?</t>
  </si>
  <si>
    <t xml:space="preserve">Quick to define now and costly later.</t>
  </si>
  <si>
    <t xml:space="preserve">SUR-06</t>
  </si>
  <si>
    <t xml:space="preserve">What accessibility needs exist (screen readers, low bandwidth, shift workers, kiosks)?</t>
  </si>
  <si>
    <t xml:space="preserve">Ensures every employee can respond.</t>
  </si>
  <si>
    <t xml:space="preserve">SUR-07</t>
  </si>
  <si>
    <t xml:space="preserve">What survey length targets apply, and who signs off on content?</t>
  </si>
  <si>
    <t xml:space="preserve">Controls fatigue and approval time.</t>
  </si>
  <si>
    <t xml:space="preserve">SUR-08</t>
  </si>
  <si>
    <t xml:space="preserve">Will you use Qualtrics best-practice libraries (engagement, onboarding, exit, 360, well-being, candidate) as the baseline, and how much customisation is allowed?</t>
  </si>
  <si>
    <t xml:space="preserve">Libraries speed delivery; customisation adds testing and translation.</t>
  </si>
  <si>
    <t xml:space="preserve">SUR-09</t>
  </si>
  <si>
    <t xml:space="preserve">Which scoring conventions apply (favourable %, mean, top-box)?</t>
  </si>
  <si>
    <t xml:space="preserve">Keeps analytics consistent.</t>
  </si>
  <si>
    <t xml:space="preserve">SUR-10</t>
  </si>
  <si>
    <t xml:space="preserve">PLS, ENG</t>
  </si>
  <si>
    <t xml:space="preserve">Would you accept AI-assisted follow-up questions on vague comments (conversational feedback)?</t>
  </si>
  <si>
    <t xml:space="preserve">Needs policy approval.</t>
  </si>
  <si>
    <t xml:space="preserve">INT-01</t>
  </si>
  <si>
    <t xml:space="preserve">Describe the SuccessFactors landscape: instances (test, preview, production), data centre, EC release status, identity provider and SSO.</t>
  </si>
  <si>
    <t xml:space="preserve">Foundation for integration and authentication design.</t>
  </si>
  <si>
    <t xml:space="preserve">INT-02</t>
  </si>
  <si>
    <t xml:space="preserve">What is the preferred method for sending EC employee data to Qualtrics: pre-packaged SF extension, SFTP file, API or Integration Center, or SAP BTP Integration Suite? Any constraints?</t>
  </si>
  <si>
    <t xml:space="preserve">Selects the integration pattern and drives effort.</t>
  </si>
  <si>
    <t xml:space="preserve">INT-03</t>
  </si>
  <si>
    <t xml:space="preserve">Do you have SAP BTP / Integration Suite today? Who has the skills and capacity to build and run the integration?</t>
  </si>
  <si>
    <t xml:space="preserve">Capacity is the main schedule risk for integration.</t>
  </si>
  <si>
    <t xml:space="preserve">INT-04</t>
  </si>
  <si>
    <t xml:space="preserve">How often must data sync (daily full, daily delta, near real time)? Which fields need near-real-time updates (hire for onboarding, termination for exit)?</t>
  </si>
  <si>
    <t xml:space="preserve">Sync frequency decides architecture.</t>
  </si>
  <si>
    <t xml:space="preserve">INT-05</t>
  </si>
  <si>
    <t xml:space="preserve">How will EC events (hire, transfer, termination) trigger surveys: SF Intelligent Services events, Integration Center, or scheduled delta files? Is Intelligent Services enabled?</t>
  </si>
  <si>
    <t xml:space="preserve">Event triggers are the heart of lifecycle surveys.</t>
  </si>
  <si>
    <t xml:space="preserve">INT-06</t>
  </si>
  <si>
    <t xml:space="preserve">Do surveys need to appear inside SF (home page tile, Engagement card, mobile app)? On which SF home page version?</t>
  </si>
  <si>
    <t xml:space="preserve">Embedded delivery improves response and adoption.</t>
  </si>
  <si>
    <t xml:space="preserve">INT-07</t>
  </si>
  <si>
    <t xml:space="preserve">MGR, RPT</t>
  </si>
  <si>
    <t xml:space="preserve">Should results or action plans flow back to SF (development plans, goals, talent profile) or to a data warehouse (SAC, Datasphere, BW)?</t>
  </si>
  <si>
    <t xml:space="preserve">Return flows add scope and security review.</t>
  </si>
  <si>
    <t xml:space="preserve">INT-08</t>
  </si>
  <si>
    <t xml:space="preserve">Which identity standard will be used for employee access (SAML or OIDC, which IdP)? What is the fallback for employees without SSO?</t>
  </si>
  <si>
    <t xml:space="preserve">Access design affects frontline reach and security approval.</t>
  </si>
  <si>
    <t xml:space="preserve">INT-09</t>
  </si>
  <si>
    <t xml:space="preserve">How many Qualtrics sandbox and production environments are needed, how often is SF preview refreshed, and what is the policy on test data (anonymised or real)?</t>
  </si>
  <si>
    <t xml:space="preserve">Environments and test data decide test quality and compliance.</t>
  </si>
  <si>
    <t xml:space="preserve">INT-10</t>
  </si>
  <si>
    <t xml:space="preserve">What API user, OAuth, IP allow-list and permission roles will the integration need, and who approves them?</t>
  </si>
  <si>
    <t xml:space="preserve">Integration security approvals take time.</t>
  </si>
  <si>
    <t xml:space="preserve">INT-11</t>
  </si>
  <si>
    <t xml:space="preserve">Who monitors failed syncs, how will alerts be raised, and what SLA is expected?</t>
  </si>
  <si>
    <t xml:space="preserve">Operational readiness for run.</t>
  </si>
  <si>
    <t xml:space="preserve">INT-12</t>
  </si>
  <si>
    <t xml:space="preserve">What architecture-board approvals and change-freeze windows apply in the next four months?</t>
  </si>
  <si>
    <t xml:space="preserve">Freeze windows can block deployment.</t>
  </si>
  <si>
    <t xml:space="preserve">INT-13</t>
  </si>
  <si>
    <t xml:space="preserve">Is data needed from outside EC (Employee Central Payroll, time tracking, ITSM, other HR systems)?</t>
  </si>
  <si>
    <t xml:space="preserve">Extra sources lengthen the build.</t>
  </si>
  <si>
    <t xml:space="preserve">INT-14</t>
  </si>
  <si>
    <t xml:space="preserve">Do firewalls or mail filters need allow-listing for Qualtrics survey links? How is email deliverability handled (sender domain, SPF, DKIM)?</t>
  </si>
  <si>
    <t xml:space="preserve">Invitations landing in spam is a frequent launch problem.</t>
  </si>
  <si>
    <t xml:space="preserve">INT-15</t>
  </si>
  <si>
    <t xml:space="preserve">Do People Analytics or Workforce Analytics pipelines need to consume EX data?</t>
  </si>
  <si>
    <t xml:space="preserve">Plans downstream data flows.</t>
  </si>
  <si>
    <t xml:space="preserve">DAT-01</t>
  </si>
  <si>
    <t xml:space="preserve">Which EC fields are needed in Qualtrics (person, employment, job, organisation: legal entity, business unit, division, department, location, cost centre, job family, level, manager, position)? Please complete the Data Inventory tab.</t>
  </si>
  <si>
    <t xml:space="preserve">The field list is the backbone of hierarchy, triggers and segmentation.</t>
  </si>
  <si>
    <t xml:space="preserve">DAT-02</t>
  </si>
  <si>
    <t xml:space="preserve">How complete and trusted is EC data (manager, email, location, job level)? Which known gaps exist?</t>
  </si>
  <si>
    <t xml:space="preserve">Data quality problems surface as wrong survey populations.</t>
  </si>
  <si>
    <t xml:space="preserve">DAT-03</t>
  </si>
  <si>
    <t xml:space="preserve">Which organisational structure drives reporting (reporting line or organisation units)? How many levels and units exist?</t>
  </si>
  <si>
    <t xml:space="preserve">Determines hierarchy build and dashboard roll-ups.</t>
  </si>
  <si>
    <t xml:space="preserve">DAT-04</t>
  </si>
  <si>
    <t xml:space="preserve">How are matrix, dotted-line, concurrent employment, global assignments and secondments handled? Which manager and organisation does each person report under?</t>
  </si>
  <si>
    <t xml:space="preserve">These cases create duplicates and wrong roll-ups.</t>
  </si>
  <si>
    <t xml:space="preserve">DAT-05</t>
  </si>
  <si>
    <t xml:space="preserve">Which demographic attributes exist in EC and are approved for survey analysis (gender, age band, tenure, nationality, and so on)?</t>
  </si>
  <si>
    <t xml:space="preserve">Needs privacy and legal approval.</t>
  </si>
  <si>
    <t xml:space="preserve">DAT-06</t>
  </si>
  <si>
    <t xml:space="preserve">Who is eligible to be surveyed: active, on leave, notice period, contingent, part-time, future hires? What are the exclusion rules?</t>
  </si>
  <si>
    <t xml:space="preserve">Eligibility rules define the participant file.</t>
  </si>
  <si>
    <t xml:space="preserve">DAT-07</t>
  </si>
  <si>
    <t xml:space="preserve">What contact data is available: business email coverage, personal email, mobile number for deskless staff, preferred language?</t>
  </si>
  <si>
    <t xml:space="preserve">Without contact data people cannot be invited.</t>
  </si>
  <si>
    <t xml:space="preserve">DAT-08</t>
  </si>
  <si>
    <t xml:space="preserve">Where should derived attributes (tenure band, age band, span of control) be calculated: EC, middleware or Qualtrics?</t>
  </si>
  <si>
    <t xml:space="preserve">Avoids inconsistent definitions.</t>
  </si>
  <si>
    <t xml:space="preserve">DAT-09</t>
  </si>
  <si>
    <t xml:space="preserve">ENG, PLS</t>
  </si>
  <si>
    <t xml:space="preserve">Is there historical survey data or historical organisation snapshots to load for trend reporting? Format, volume and quality?</t>
  </si>
  <si>
    <t xml:space="preserve">Historical loads need mapping effort.</t>
  </si>
  <si>
    <t xml:space="preserve">DAT-10</t>
  </si>
  <si>
    <t xml:space="preserve">What retention periods apply per use case? How are leavers' data deletion and erasure requests handled?</t>
  </si>
  <si>
    <t xml:space="preserve">Retention rules shape configuration.</t>
  </si>
  <si>
    <t xml:space="preserve">DAT-11</t>
  </si>
  <si>
    <t xml:space="preserve">Are reorganisations planned between now and go-live, and how will hierarchy changes during a survey window be handled (snapshot or live)?</t>
  </si>
  <si>
    <t xml:space="preserve">Mid-survey changes corrupt results.</t>
  </si>
  <si>
    <t xml:space="preserve">DAT-12</t>
  </si>
  <si>
    <t xml:space="preserve">Which unique identifier will be the key between EC and Qualtrics (person ID, user ID), and how will pseudonymisation be handled?</t>
  </si>
  <si>
    <t xml:space="preserve">Key design is hard to change after build.</t>
  </si>
  <si>
    <t xml:space="preserve">DAT-13</t>
  </si>
  <si>
    <t xml:space="preserve">Are there entities or populations not on EC (acquisitions, joint ventures, contractors)? Should they be included and from which source?</t>
  </si>
  <si>
    <t xml:space="preserve">Scope and data source gap.</t>
  </si>
  <si>
    <t xml:space="preserve">RPT-01</t>
  </si>
  <si>
    <t xml:space="preserve">Which reporting audiences exist (executives, HRBPs, managers, employees, People Analytics) and what does each need to see?</t>
  </si>
  <si>
    <t xml:space="preserve">Defines roles and dashboard scope.</t>
  </si>
  <si>
    <t xml:space="preserve">RPT-02</t>
  </si>
  <si>
    <t xml:space="preserve">Which dashboard types are must-have: executive overview, manager dashboard, heat map, driver analysis, comparison, trend?</t>
  </si>
  <si>
    <t xml:space="preserve">Controls build effort.</t>
  </si>
  <si>
    <t xml:space="preserve">RPT-03</t>
  </si>
  <si>
    <t xml:space="preserve">How will reports be distributed: dashboard login, scheduled email, PDF, embedded in SF?</t>
  </si>
  <si>
    <t xml:space="preserve">Affects access model and SSO.</t>
  </si>
  <si>
    <t xml:space="preserve">RPT-04</t>
  </si>
  <si>
    <t xml:space="preserve">Who needs live response-rate tracking and at what granularity (without identifying respondents)?</t>
  </si>
  <si>
    <t xml:space="preserve">Supports participation management.</t>
  </si>
  <si>
    <t xml:space="preserve">RPT-05</t>
  </si>
  <si>
    <t xml:space="preserve">Which text analytics and AI summaries (Qualtrics Assist) are in scope, in which languages, and do Legal and employee representatives approve them?</t>
  </si>
  <si>
    <t xml:space="preserve">AI on employee comments needs explicit approval.</t>
  </si>
  <si>
    <t xml:space="preserve">RPT-06</t>
  </si>
  <si>
    <t xml:space="preserve">ENG, PLS, 360</t>
  </si>
  <si>
    <t xml:space="preserve">Will survey data be combined with SF data (turnover, PMGM performance rating, promotion, tenure) for analysis? What safeguards apply?</t>
  </si>
  <si>
    <t xml:space="preserve">Joined data is powerful and sensitive.</t>
  </si>
  <si>
    <t xml:space="preserve">RPT-07</t>
  </si>
  <si>
    <t xml:space="preserve">Which internal targets and external benchmarks apply?</t>
  </si>
  <si>
    <t xml:space="preserve">Defines reporting comparisons.</t>
  </si>
  <si>
    <t xml:space="preserve">RPT-08</t>
  </si>
  <si>
    <t xml:space="preserve">Do reports need local-language labels or corporate templates?</t>
  </si>
  <si>
    <t xml:space="preserve">Template effort.</t>
  </si>
  <si>
    <t xml:space="preserve">RPT-09</t>
  </si>
  <si>
    <t xml:space="preserve">Will raw data go to a data warehouse or People Analytics, how often, and who holds access?</t>
  </si>
  <si>
    <t xml:space="preserve">Extra export flows.</t>
  </si>
  <si>
    <t xml:space="preserve">RPT-10</t>
  </si>
  <si>
    <t xml:space="preserve">What accessibility and mobile support is needed for dashboards?</t>
  </si>
  <si>
    <t xml:space="preserve">Usability for all managers.</t>
  </si>
  <si>
    <t xml:space="preserve">RPT-11</t>
  </si>
  <si>
    <t xml:space="preserve">Which custom metrics (eNPS, engagement index composition, attrition-risk index) need agreed definitions and owners?</t>
  </si>
  <si>
    <t xml:space="preserve">Metric definitions must be fixed before dashboards.</t>
  </si>
  <si>
    <t xml:space="preserve">SEC-01</t>
  </si>
  <si>
    <t xml:space="preserve">Where must employee data be stored and processed? Are there restrictions on cross-border transfer (EU, India, China, Middle East, other)?</t>
  </si>
  <si>
    <t xml:space="preserve">Residency drives data-centre choice and legal basis.</t>
  </si>
  <si>
    <t xml:space="preserve">SEC-02</t>
  </si>
  <si>
    <t xml:space="preserve">Has a DPIA or privacy impact assessment been done or required? Who is the DPO and when must they be consulted?</t>
  </si>
  <si>
    <t xml:space="preserve">Often a critical-path item.</t>
  </si>
  <si>
    <t xml:space="preserve">SEC-03</t>
  </si>
  <si>
    <t xml:space="preserve">Which countries require works council, union or employee representative consultation, and what are the lead times?</t>
  </si>
  <si>
    <t xml:space="preserve">Consultation can delay go-live by weeks or months.</t>
  </si>
  <si>
    <t xml:space="preserve">SEC-04</t>
  </si>
  <si>
    <t xml:space="preserve">What anonymity commitments apply: minimum group size, suppression of small groups, comment redaction, and who approves exceptions?</t>
  </si>
  <si>
    <t xml:space="preserve">Anonymity breaches destroy trust.</t>
  </si>
  <si>
    <t xml:space="preserve">SEC-05</t>
  </si>
  <si>
    <t xml:space="preserve">What is the legal basis (legitimate interest or consent) and the required privacy notice wording for each country?</t>
  </si>
  <si>
    <t xml:space="preserve">Needed before the first invitation.</t>
  </si>
  <si>
    <t xml:space="preserve">SEC-06</t>
  </si>
  <si>
    <t xml:space="preserve">Which EC attributes are classified sensitive or restricted? Are any prohibited from leaving EC?</t>
  </si>
  <si>
    <t xml:space="preserve">Sets the data mapping scope.</t>
  </si>
  <si>
    <t xml:space="preserve">SEC-07</t>
  </si>
  <si>
    <t xml:space="preserve">What SSO, MFA, session, admin-access and IP-restriction policies apply?</t>
  </si>
  <si>
    <t xml:space="preserve">Security configuration to design up front.</t>
  </si>
  <si>
    <t xml:space="preserve">SEC-08</t>
  </si>
  <si>
    <t xml:space="preserve">What security evidence is required from the vendor (certifications, pen-test reports, sub-processor list)? Where does the review stand?</t>
  </si>
  <si>
    <t xml:space="preserve">Vendor review can gate access to real data.</t>
  </si>
  <si>
    <t xml:space="preserve">SEC-09</t>
  </si>
  <si>
    <t xml:space="preserve">How are data subject access requests involving survey data handled?</t>
  </si>
  <si>
    <t xml:space="preserve">Needs a process before go-live.</t>
  </si>
  <si>
    <t xml:space="preserve">SEC-10</t>
  </si>
  <si>
    <t xml:space="preserve">What is your protocol for sensitive disclosures in comments (harassment, safety, wellbeing risk): duty of care, escalation path, limits of anonymity?</t>
  </si>
  <si>
    <t xml:space="preserve">Legal duty may override anonymity.</t>
  </si>
  <si>
    <t xml:space="preserve">SEC-11</t>
  </si>
  <si>
    <t xml:space="preserve">What audit logging is required (who accessed which results) and how will logs be exported?</t>
  </si>
  <si>
    <t xml:space="preserve">Compliance evidence.</t>
  </si>
  <si>
    <t xml:space="preserve">SEC-12</t>
  </si>
  <si>
    <t xml:space="preserve">Has Legal assessed AI-based analysis of employee data (sentiment, attrition prediction) under internal AI policy and applicable regulation, including EU AI Act treatment of employment-related AI?</t>
  </si>
  <si>
    <t xml:space="preserve">AI governance rules for employee data are evolving.</t>
  </si>
  <si>
    <t xml:space="preserve">ROL-01</t>
  </si>
  <si>
    <t xml:space="preserve">Who will be Brand Administrators and who will be EX project administrators? Brand Administrators have full platform access including the directory; Employee Insights Administrators can build projects but cannot access the directory or admin page.</t>
  </si>
  <si>
    <t xml:space="preserve">Admin separation is a core design choice in Qualtrics EX.</t>
  </si>
  <si>
    <t xml:space="preserve">ROL-02</t>
  </si>
  <si>
    <t xml:space="preserve">Define viewer roles (executives, HRBPs, managers, regional HR, employee representatives) and map each to hierarchy-based access.</t>
  </si>
  <si>
    <t xml:space="preserve">Hierarchy-based access is the basis of dashboards.</t>
  </si>
  <si>
    <t xml:space="preserve">ROL-03</t>
  </si>
  <si>
    <t xml:space="preserve">Who can create and launch surveys, approve content and release results? What approval chain and SLA apply?</t>
  </si>
  <si>
    <t xml:space="preserve">Prevents bottlenecks and rogue surveys.</t>
  </si>
  <si>
    <t xml:space="preserve">ROL-04</t>
  </si>
  <si>
    <t xml:space="preserve">Who may see raw comments or respondent-level data? What segregation of duties applies between administrators, HRBPs and IT?</t>
  </si>
  <si>
    <t xml:space="preserve">Protects confidentiality.</t>
  </si>
  <si>
    <t xml:space="preserve">ROL-05</t>
  </si>
  <si>
    <t xml:space="preserve">Will joiner-mover-leaver access be automated from SF roles or managed manually?</t>
  </si>
  <si>
    <t xml:space="preserve">Access hygiene at scale.</t>
  </si>
  <si>
    <t xml:space="preserve">ROL-06</t>
  </si>
  <si>
    <t xml:space="preserve">Which governance body oversees EX (steering committee, content council, privacy officer)? How often does it meet?</t>
  </si>
  <si>
    <t xml:space="preserve">Someone must own decisions after go-live.</t>
  </si>
  <si>
    <t xml:space="preserve">ROL-07</t>
  </si>
  <si>
    <t xml:space="preserve">What support model is expected (employee help, administrators, vendor) and in which languages and hours?</t>
  </si>
  <si>
    <t xml:space="preserve">Prepares for go-live volume.</t>
  </si>
  <si>
    <t xml:space="preserve">ROL-08</t>
  </si>
  <si>
    <t xml:space="preserve">How will changes to surveys and participant data after launch be documented and audited?</t>
  </si>
  <si>
    <t xml:space="preserve">Change control.</t>
  </si>
  <si>
    <t xml:space="preserve">CMM-01</t>
  </si>
  <si>
    <t xml:space="preserve">Who sends invitations (executive, HR, manager), from which sender name and email domain, over which channels?</t>
  </si>
  <si>
    <t xml:space="preserve">Sender trust drives response rates.</t>
  </si>
  <si>
    <t xml:space="preserve">CMM-02</t>
  </si>
  <si>
    <t xml:space="preserve">Is Internal Communications engaged, and which channels exist (intranet, Teams, town halls, posters for frontline staff)?</t>
  </si>
  <si>
    <t xml:space="preserve">Comms lead times are long.</t>
  </si>
  <si>
    <t xml:space="preserve">CMM-03</t>
  </si>
  <si>
    <t xml:space="preserve">What employee-facing FAQ and privacy message will explain what happens to results?</t>
  </si>
  <si>
    <t xml:space="preserve">Trust drives honest answers.</t>
  </si>
  <si>
    <t xml:space="preserve">CMM-04</t>
  </si>
  <si>
    <t xml:space="preserve">What reminder cadence and tone are planned, and will managers receive response-rate nudges?</t>
  </si>
  <si>
    <t xml:space="preserve">Participation levers.</t>
  </si>
  <si>
    <t xml:space="preserve">CMM-05</t>
  </si>
  <si>
    <t xml:space="preserve">What toolkit will managers receive to explain the survey and discuss results?</t>
  </si>
  <si>
    <t xml:space="preserve">Manager confidence affects outcomes.</t>
  </si>
  <si>
    <t xml:space="preserve">CMM-06</t>
  </si>
  <si>
    <t xml:space="preserve">How and when will you communicate what changed as a result (you said, we did), and who owns it?</t>
  </si>
  <si>
    <t xml:space="preserve">Without visible action, response rates decay.</t>
  </si>
  <si>
    <t xml:space="preserve">CMM-07</t>
  </si>
  <si>
    <t xml:space="preserve">What changes for HR, managers and employees, who might resist, and what training is needed?</t>
  </si>
  <si>
    <t xml:space="preserve">Shapes the change plan.</t>
  </si>
  <si>
    <t xml:space="preserve">CMM-08</t>
  </si>
  <si>
    <t xml:space="preserve">What training is planned for administrators, HRBPs and managers (formats, lead times)?</t>
  </si>
  <si>
    <t xml:space="preserve">Training must complete before launch.</t>
  </si>
  <si>
    <t xml:space="preserve">CMM-09</t>
  </si>
  <si>
    <t xml:space="preserve">Which other surveys, campaigns or SuccessFactors go-live communications run in the same period, and how will they be coordinated?</t>
  </si>
  <si>
    <t xml:space="preserve">Clashing campaigns reduce participation.</t>
  </si>
  <si>
    <t xml:space="preserve">CMM-10</t>
  </si>
  <si>
    <t xml:space="preserve">What local-language adaptation is needed for communications by country?</t>
  </si>
  <si>
    <t xml:space="preserve">Communication scope.</t>
  </si>
  <si>
    <t xml:space="preserve">UPC-01</t>
  </si>
  <si>
    <t xml:space="preserve">Which SuccessFactors modules go live in the next 3-4 months (for example Recruiting, Onboarding, Learning, Succession &amp; Development, Compensation, Time, Payroll) and what are their dates? Please complete the SF Module Readiness tab.</t>
  </si>
  <si>
    <t xml:space="preserve">Module dates drive trigger availability and test windows.</t>
  </si>
  <si>
    <t xml:space="preserve">UPC-02</t>
  </si>
  <si>
    <t xml:space="preserve">For each module, does an EX use case need its data (onboarding task completion, course completion, requisition stages)? Is a manual or file-based interim acceptable?</t>
  </si>
  <si>
    <t xml:space="preserve">Separates hard dependencies from nice-to-haves.</t>
  </si>
  <si>
    <t xml:space="preserve">UPC-03</t>
  </si>
  <si>
    <t xml:space="preserve">Can EX requirements be fed into the design workshops of those other modules now (fields, event reasons, status codes)?</t>
  </si>
  <si>
    <t xml:space="preserve">Cheap now, expensive later.</t>
  </si>
  <si>
    <t xml:space="preserve">UPC-04</t>
  </si>
  <si>
    <t xml:space="preserve">Which EC configuration changes are planned (new fields, org restructure, position management, event reasons) that would affect the EX data feed?</t>
  </si>
  <si>
    <t xml:space="preserve">Mid-build data model changes break integrations.</t>
  </si>
  <si>
    <t xml:space="preserve">UPC-05</t>
  </si>
  <si>
    <t xml:space="preserve">How will SuccessFactors half-yearly releases be handled, and what test windows apply?</t>
  </si>
  <si>
    <t xml:space="preserve">Release regression is a known risk.</t>
  </si>
  <si>
    <t xml:space="preserve">UPC-06</t>
  </si>
  <si>
    <t xml:space="preserve">Is the same partner implementing the other modules and Qualtrics? Where does resource overlap?</t>
  </si>
  <si>
    <t xml:space="preserve">Shared people cause conflicts.</t>
  </si>
  <si>
    <t xml:space="preserve">UPC-07</t>
  </si>
  <si>
    <t xml:space="preserve">When do other modules cut over and hold hypercare, and how does that collide with EX testing and pilot?</t>
  </si>
  <si>
    <t xml:space="preserve">Avoids testing during SF cutovers.</t>
  </si>
  <si>
    <t xml:space="preserve">UPC-08</t>
  </si>
  <si>
    <t xml:space="preserve">Is Workforce Analytics or SAC planned and should it consume EX data?</t>
  </si>
  <si>
    <t xml:space="preserve">Plans downstream use.</t>
  </si>
  <si>
    <t xml:space="preserve">UPC-09</t>
  </si>
  <si>
    <t xml:space="preserve">What is the PMGM cycle calendar (goals, reviews, calibration)? Which PMGM data (ratings, goals) may be used with survey data?</t>
  </si>
  <si>
    <t xml:space="preserve">Avoids collisions and clarifies permitted data use.</t>
  </si>
  <si>
    <t xml:space="preserve">UPC-10</t>
  </si>
  <si>
    <t xml:space="preserve">Are further EC rollout waves planned (new countries or entities) that will expand the EX population?</t>
  </si>
  <si>
    <t xml:space="preserve">Scalability planning.</t>
  </si>
  <si>
    <t xml:space="preserve">DEL-01</t>
  </si>
  <si>
    <t xml:space="preserve">What phases and milestones are expected (design, build, test, pilot, go-live, hypercare)? Review the proposed 16-week plan on the Timeline &amp; Risks tab.</t>
  </si>
  <si>
    <t xml:space="preserve">Aligns on the critical path.</t>
  </si>
  <si>
    <t xml:space="preserve">DEL-02</t>
  </si>
  <si>
    <t xml:space="preserve">Who is on the project team (business, HRIS, IT, security, comms) with what percentage allocation, and who is the day-to-day decision maker?</t>
  </si>
  <si>
    <t xml:space="preserve">Named capacity beats intentions.</t>
  </si>
  <si>
    <t xml:space="preserve">DEL-03</t>
  </si>
  <si>
    <t xml:space="preserve">What testing approach applies: UAT participants, test cases, test data and sign-off criteria?</t>
  </si>
  <si>
    <t xml:space="preserve">Defines quality gates.</t>
  </si>
  <si>
    <t xml:space="preserve">DEL-04</t>
  </si>
  <si>
    <t xml:space="preserve">Which population and use case will pilot, at what size, and what success criteria would trigger full launch?</t>
  </si>
  <si>
    <t xml:space="preserve">A pilot lowers launch risk.</t>
  </si>
  <si>
    <t xml:space="preserve">DEL-05</t>
  </si>
  <si>
    <t xml:space="preserve">Is go-live big-bang or phased (by use case or country)? What are the rollback criteria?</t>
  </si>
  <si>
    <t xml:space="preserve">Phasing is the best lever in a short window.</t>
  </si>
  <si>
    <t xml:space="preserve">DEL-06</t>
  </si>
  <si>
    <t xml:space="preserve">How long is hypercare, and how will knowledge transfer to the run team work?</t>
  </si>
  <si>
    <t xml:space="preserve">Support continuity.</t>
  </si>
  <si>
    <t xml:space="preserve">DEL-07</t>
  </si>
  <si>
    <t xml:space="preserve">Which blackout dates and holidays (year-end, festivals, fiscal close) will remove key people over the next four months?</t>
  </si>
  <si>
    <t xml:space="preserve">Holiday periods can remove one to two weeks of capacity.</t>
  </si>
  <si>
    <t xml:space="preserve">DEL-08</t>
  </si>
  <si>
    <t xml:space="preserve">Which assumptions and dependencies does the client already see (licences, access, security review)?</t>
  </si>
  <si>
    <t xml:space="preserve">Surfaces risks early.</t>
  </si>
  <si>
    <t xml:space="preserve">DEL-09</t>
  </si>
  <si>
    <t xml:space="preserve">What are the top risks the client perceives and what mitigation is already considered?</t>
  </si>
  <si>
    <t xml:space="preserve">Seeds the risk register.</t>
  </si>
  <si>
    <t xml:space="preserve">DEL-10</t>
  </si>
  <si>
    <t xml:space="preserve">What project governance applies (weekly cadence, steering committee, escalation path, RAID log tool)?</t>
  </si>
  <si>
    <t xml:space="preserve">Operating rhythm.</t>
  </si>
  <si>
    <t xml:space="preserve">DEL-11</t>
  </si>
  <si>
    <t xml:space="preserve">Which deliverables are expected (design document, integration specification, test results, admin guide, training)?</t>
  </si>
  <si>
    <t xml:space="preserve">Scope of documentation.</t>
  </si>
  <si>
    <t xml:space="preserve">DEL-12</t>
  </si>
  <si>
    <t xml:space="preserve">What are the acceptance criteria for go-live?</t>
  </si>
  <si>
    <t xml:space="preserve">Prevents scope disputes.</t>
  </si>
  <si>
    <t xml:space="preserve">SUC-01</t>
  </si>
  <si>
    <t xml:space="preserve">Which three to five KPIs define success at 6 and 12 months (participation, eNPS, onboarding satisfaction, regretted attrition, action-plan completion)?</t>
  </si>
  <si>
    <t xml:space="preserve">Success definition guides trade-offs.</t>
  </si>
  <si>
    <t xml:space="preserve">SUC-02</t>
  </si>
  <si>
    <t xml:space="preserve">What baselines exist today for those KPIs?</t>
  </si>
  <si>
    <t xml:space="preserve">Without baselines benefits cannot be shown.</t>
  </si>
  <si>
    <t xml:space="preserve">SUC-03</t>
  </si>
  <si>
    <t xml:space="preserve">What business case or ROI has been promised internally, and who owns benefits tracking?</t>
  </si>
  <si>
    <t xml:space="preserve">Defines accountability.</t>
  </si>
  <si>
    <t xml:space="preserve">SUC-04</t>
  </si>
  <si>
    <t xml:space="preserve">What will the operating model look like after go-live: run-team size, skills, annual programme calendar, centre of excellence?</t>
  </si>
  <si>
    <t xml:space="preserve">Sustainable operation.</t>
  </si>
  <si>
    <t xml:space="preserve">SUC-05</t>
  </si>
  <si>
    <t xml:space="preserve">How will content and adoption be reviewed quarterly, and who approves new use cases?</t>
  </si>
  <si>
    <t xml:space="preserve">Continuous improvement.</t>
  </si>
  <si>
    <t xml:space="preserve">SUC-06</t>
  </si>
  <si>
    <t xml:space="preserve">What scale-up is expected in 12-24 months (countries, subsidiaries, populations)?</t>
  </si>
  <si>
    <t xml:space="preserve">Informs design headroom.</t>
  </si>
  <si>
    <t xml:space="preserve">SUC-07</t>
  </si>
  <si>
    <t xml:space="preserve">What executive reporting cadence on EX outcomes is expected?</t>
  </si>
  <si>
    <t xml:space="preserve">Governance rhythm.</t>
  </si>
  <si>
    <t xml:space="preserve">SUC-08</t>
  </si>
  <si>
    <t xml:space="preserve">What policy governs use of results in performance, promotion or pay decisions?</t>
  </si>
  <si>
    <t xml:space="preserve">Prevents misuse and mistrust.</t>
  </si>
  <si>
    <t xml:space="preserve">SuccessFactors Module Readiness</t>
  </si>
  <si>
    <t xml:space="preserve">Status pre-filled from what you told us: Employee Central and PMGM are live. Confirm everything else.</t>
  </si>
  <si>
    <t xml:space="preserve">SuccessFactors module</t>
  </si>
  <si>
    <t xml:space="preserve">Status (confirm)</t>
  </si>
  <si>
    <t xml:space="preserve">EX relevance</t>
  </si>
  <si>
    <t xml:space="preserve">Qualtrics touchpoint</t>
  </si>
  <si>
    <t xml:space="preserve">Data / trigger needed</t>
  </si>
  <si>
    <t xml:space="preserve">Question to confirm</t>
  </si>
  <si>
    <t xml:space="preserve">Planned go-live date</t>
  </si>
  <si>
    <t xml:space="preserve">In scope for EX?</t>
  </si>
  <si>
    <t xml:space="preserve">Notes</t>
  </si>
  <si>
    <t xml:space="preserve">Employee Central (core HR)</t>
  </si>
  <si>
    <t xml:space="preserve">Live</t>
  </si>
  <si>
    <t xml:space="preserve">Primary data source for every EX use case</t>
  </si>
  <si>
    <t xml:space="preserve">Employee directory, hierarchy, lifecycle triggers</t>
  </si>
  <si>
    <t xml:space="preserve">Person, employment, job, organisation, manager, events</t>
  </si>
  <si>
    <t xml:space="preserve">Which EC changes are planned before go-live?</t>
  </si>
  <si>
    <t xml:space="preserve">Performance &amp; Goals (PMGM)</t>
  </si>
  <si>
    <t xml:space="preserve">360 overlap; post-review pulse; link to ratings</t>
  </si>
  <si>
    <t xml:space="preserve">360 decision, review-cycle calendar, optional rating joins</t>
  </si>
  <si>
    <t xml:space="preserve">Cycle dates, form templates, multi-rater use, ratings</t>
  </si>
  <si>
    <t xml:space="preserve">Does PMGM already run multi-rater feedback, and which tool will own 360?</t>
  </si>
  <si>
    <t xml:space="preserve">Continuous Performance Management</t>
  </si>
  <si>
    <t xml:space="preserve">To confirm</t>
  </si>
  <si>
    <t xml:space="preserve">Check-in and feedback pulses</t>
  </si>
  <si>
    <t xml:space="preserve">Manager conversation pulses</t>
  </si>
  <si>
    <t xml:space="preserve">Activity events</t>
  </si>
  <si>
    <t xml:space="preserve">Is CPM in use or planned?</t>
  </si>
  <si>
    <t xml:space="preserve">Recruiting Management</t>
  </si>
  <si>
    <t xml:space="preserve">Planned - confirm date</t>
  </si>
  <si>
    <t xml:space="preserve">Candidate experience</t>
  </si>
  <si>
    <t xml:space="preserve">Stage-triggered candidate surveys</t>
  </si>
  <si>
    <t xml:space="preserve">Requisition, application stage, applicant contact</t>
  </si>
  <si>
    <t xml:space="preserve">Go-live date and applicant-privacy constraints?</t>
  </si>
  <si>
    <t xml:space="preserve">Recruiting Marketing / CRM</t>
  </si>
  <si>
    <t xml:space="preserve">Employer brand and candidate funnel</t>
  </si>
  <si>
    <t xml:space="preserve">Candidate pulse (optional)</t>
  </si>
  <si>
    <t xml:space="preserve">Career site events</t>
  </si>
  <si>
    <t xml:space="preserve">In scope?</t>
  </si>
  <si>
    <t xml:space="preserve">Onboarding experience</t>
  </si>
  <si>
    <t xml:space="preserve">Day-1 / 30 / 90 surveys, task-based triggers</t>
  </si>
  <si>
    <t xml:space="preserve">Hire event, tasks, buddy, manager</t>
  </si>
  <si>
    <t xml:space="preserve">Go-live date; is a manual trigger acceptable at launch?</t>
  </si>
  <si>
    <t xml:space="preserve">Offboarding (EC)</t>
  </si>
  <si>
    <t xml:space="preserve">Exit experience</t>
  </si>
  <si>
    <t xml:space="preserve">Pre-exit and exit surveys</t>
  </si>
  <si>
    <t xml:space="preserve">Termination event, last day, reason code</t>
  </si>
  <si>
    <t xml:space="preserve">Is offboarding configured and reliable?</t>
  </si>
  <si>
    <t xml:space="preserve">Learning</t>
  </si>
  <si>
    <t xml:space="preserve">Learning experience; manager development follow-up</t>
  </si>
  <si>
    <t xml:space="preserve">Course-completion pulse; link from action plans</t>
  </si>
  <si>
    <t xml:space="preserve">Course completions</t>
  </si>
  <si>
    <t xml:space="preserve">Go-live date; integration expectations?</t>
  </si>
  <si>
    <t xml:space="preserve">Succession &amp; Development</t>
  </si>
  <si>
    <t xml:space="preserve">360 results into development plans</t>
  </si>
  <si>
    <t xml:space="preserve">Development plan linkage</t>
  </si>
  <si>
    <t xml:space="preserve">Talent profile, development goals</t>
  </si>
  <si>
    <t xml:space="preserve">Should 360 results flow here or stay confidential?</t>
  </si>
  <si>
    <t xml:space="preserve">Compensation</t>
  </si>
  <si>
    <t xml:space="preserve">Pay perception (survey content only)</t>
  </si>
  <si>
    <t xml:space="preserve">None required</t>
  </si>
  <si>
    <t xml:space="preserve">None</t>
  </si>
  <si>
    <t xml:space="preserve">Any rule against linking pay data to survey data?</t>
  </si>
  <si>
    <t xml:space="preserve">Employee Central Payroll</t>
  </si>
  <si>
    <t xml:space="preserve">Pay-cycle blackout dates</t>
  </si>
  <si>
    <t xml:space="preserve">Calendar only</t>
  </si>
  <si>
    <t xml:space="preserve">Payroll calendar</t>
  </si>
  <si>
    <t xml:space="preserve">Avoid surveys in payroll-close windows?</t>
  </si>
  <si>
    <t xml:space="preserve">Time Management / Time Tracking</t>
  </si>
  <si>
    <t xml:space="preserve">Work-pattern segmentation (optional)</t>
  </si>
  <si>
    <t xml:space="preserve">Optional attributes</t>
  </si>
  <si>
    <t xml:space="preserve">Work schedule</t>
  </si>
  <si>
    <t xml:space="preserve">Needed for segmentation?</t>
  </si>
  <si>
    <t xml:space="preserve">Employee Central Service Center</t>
  </si>
  <si>
    <t xml:space="preserve">Case closure survey</t>
  </si>
  <si>
    <t xml:space="preserve">Post-case satisfaction survey</t>
  </si>
  <si>
    <t xml:space="preserve">Case closure event</t>
  </si>
  <si>
    <t xml:space="preserve">Workforce Analytics / People Analytics</t>
  </si>
  <si>
    <t xml:space="preserve">Joint analysis of survey and HR data</t>
  </si>
  <si>
    <t xml:space="preserve">Data export or SAC integration</t>
  </si>
  <si>
    <t xml:space="preserve">Turnover, headcount metrics</t>
  </si>
  <si>
    <t xml:space="preserve">Who consumes EX data?</t>
  </si>
  <si>
    <t xml:space="preserve">Home page / mobile app</t>
  </si>
  <si>
    <t xml:space="preserve">Embedded survey delivery</t>
  </si>
  <si>
    <t xml:space="preserve">Engagement card or tile</t>
  </si>
  <si>
    <t xml:space="preserve">Home page version</t>
  </si>
  <si>
    <t xml:space="preserve">Which home page version and mobile app?</t>
  </si>
  <si>
    <t xml:space="preserve">SF Intelligent Services / Integration Center</t>
  </si>
  <si>
    <t xml:space="preserve">Event-driven triggers</t>
  </si>
  <si>
    <t xml:space="preserve">Lifecycle event feed</t>
  </si>
  <si>
    <t xml:space="preserve">Hire, transfer and termination events</t>
  </si>
  <si>
    <t xml:space="preserve">Are these enabled and who maintains them?</t>
  </si>
  <si>
    <t xml:space="preserve">Employee Central Data Inventory</t>
  </si>
  <si>
    <t xml:space="preserve">List typical EC data areas are indicative; confirm actual field names and permission rules with your HRIS lead.</t>
  </si>
  <si>
    <t xml:space="preserve">Attribute</t>
  </si>
  <si>
    <t xml:space="preserve">EC area (typical)</t>
  </si>
  <si>
    <t xml:space="preserve">Purpose in Qualtrics</t>
  </si>
  <si>
    <t xml:space="preserve">Sensitivity</t>
  </si>
  <si>
    <t xml:space="preserve">Needed for</t>
  </si>
  <si>
    <t xml:space="preserve">Available in EC?</t>
  </si>
  <si>
    <t xml:space="preserve">Data quality (1-5)</t>
  </si>
  <si>
    <t xml:space="preserve">Approved to share?</t>
  </si>
  <si>
    <t xml:space="preserve">Source field / notes</t>
  </si>
  <si>
    <t xml:space="preserve">Person ID / User ID</t>
  </si>
  <si>
    <t xml:space="preserve">Person information</t>
  </si>
  <si>
    <t xml:space="preserve">Key / identifier</t>
  </si>
  <si>
    <t xml:space="preserve">All</t>
  </si>
  <si>
    <t xml:space="preserve">First and last name</t>
  </si>
  <si>
    <t xml:space="preserve">Personal information</t>
  </si>
  <si>
    <t xml:space="preserve">Contact / display</t>
  </si>
  <si>
    <t xml:space="preserve">Business email</t>
  </si>
  <si>
    <t xml:space="preserve">Email information</t>
  </si>
  <si>
    <t xml:space="preserve">Contact</t>
  </si>
  <si>
    <t xml:space="preserve">Personal email</t>
  </si>
  <si>
    <t xml:space="preserve">Contact (leavers, deskless)</t>
  </si>
  <si>
    <t xml:space="preserve">Exit, Onboarding, Candidate</t>
  </si>
  <si>
    <t xml:space="preserve">Mobile number</t>
  </si>
  <si>
    <t xml:space="preserve">Phone information</t>
  </si>
  <si>
    <t xml:space="preserve">Contact (SMS)</t>
  </si>
  <si>
    <t xml:space="preserve">Pulse, Deskless</t>
  </si>
  <si>
    <t xml:space="preserve">Preferred language</t>
  </si>
  <si>
    <t xml:space="preserve">Survey language</t>
  </si>
  <si>
    <t xml:space="preserve">Low</t>
  </si>
  <si>
    <t xml:space="preserve">Hire date / original start date</t>
  </si>
  <si>
    <t xml:space="preserve">Employment information</t>
  </si>
  <si>
    <t xml:space="preserve">Lifecycle trigger</t>
  </si>
  <si>
    <t xml:space="preserve">Onboarding, Engagement tenure</t>
  </si>
  <si>
    <t xml:space="preserve">Termination date</t>
  </si>
  <si>
    <t xml:space="preserve">Event / event reason</t>
  </si>
  <si>
    <t xml:space="preserve">Job information</t>
  </si>
  <si>
    <t xml:space="preserve">Trigger and eligibility filter</t>
  </si>
  <si>
    <t xml:space="preserve">Onboarding, Exit, Moves</t>
  </si>
  <si>
    <t xml:space="preserve">Employment status</t>
  </si>
  <si>
    <t xml:space="preserve">Eligibility</t>
  </si>
  <si>
    <t xml:space="preserve">Employee class / worker type</t>
  </si>
  <si>
    <t xml:space="preserve">Eligibility and segmentation</t>
  </si>
  <si>
    <t xml:space="preserve">Full-time / part-time, FTE</t>
  </si>
  <si>
    <t xml:space="preserve">Segmentation</t>
  </si>
  <si>
    <t xml:space="preserve">Engagement</t>
  </si>
  <si>
    <t xml:space="preserve">Legal entity / company</t>
  </si>
  <si>
    <t xml:space="preserve">Hierarchy</t>
  </si>
  <si>
    <t xml:space="preserve">Business unit / division / department</t>
  </si>
  <si>
    <t xml:space="preserve">Cost centre</t>
  </si>
  <si>
    <t xml:space="preserve">Hierarchy (optional)</t>
  </si>
  <si>
    <t xml:space="preserve">Location / country</t>
  </si>
  <si>
    <t xml:space="preserve">Hierarchy and legal rules</t>
  </si>
  <si>
    <t xml:space="preserve">Job code / title</t>
  </si>
  <si>
    <t xml:space="preserve">Job family / function</t>
  </si>
  <si>
    <t xml:space="preserve">Job level / grade</t>
  </si>
  <si>
    <t xml:space="preserve">Engagement, 360</t>
  </si>
  <si>
    <t xml:space="preserve">Position ID</t>
  </si>
  <si>
    <t xml:space="preserve">Position management</t>
  </si>
  <si>
    <t xml:space="preserve">Manager ID</t>
  </si>
  <si>
    <t xml:space="preserve">Reporting hierarchy</t>
  </si>
  <si>
    <t xml:space="preserve">Dotted-line / matrix manager</t>
  </si>
  <si>
    <t xml:space="preserve">Job relationships</t>
  </si>
  <si>
    <t xml:space="preserve">360 raters, matrix reporting</t>
  </si>
  <si>
    <t xml:space="preserve">360, Engagement</t>
  </si>
  <si>
    <t xml:space="preserve">HR business partner</t>
  </si>
  <si>
    <t xml:space="preserve">Access roles</t>
  </si>
  <si>
    <t xml:space="preserve">Date of birth (age band only)</t>
  </si>
  <si>
    <t xml:space="preserve">Demographic segmentation</t>
  </si>
  <si>
    <t xml:space="preserve">Engagement (if permitted)</t>
  </si>
  <si>
    <t xml:space="preserve">Gender</t>
  </si>
  <si>
    <t xml:space="preserve">Engagement, Inclusion (if permitted)</t>
  </si>
  <si>
    <t xml:space="preserve">Nationality</t>
  </si>
  <si>
    <t xml:space="preserve">Inclusion (if permitted)</t>
  </si>
  <si>
    <t xml:space="preserve">Work arrangement (remote / hybrid / on-site)</t>
  </si>
  <si>
    <t xml:space="preserve">Job or custom field</t>
  </si>
  <si>
    <t xml:space="preserve">Engagement, Pulse</t>
  </si>
  <si>
    <t xml:space="preserve">Last promotion / transfer date</t>
  </si>
  <si>
    <t xml:space="preserve">Job history</t>
  </si>
  <si>
    <t xml:space="preserve">Segmentation, moves trigger</t>
  </si>
  <si>
    <t xml:space="preserve">Moves, Engagement</t>
  </si>
  <si>
    <t xml:space="preserve">Performance rating (PMGM)</t>
  </si>
  <si>
    <t xml:space="preserve">Performance form</t>
  </si>
  <si>
    <t xml:space="preserve">Analysis only (restricted)</t>
  </si>
  <si>
    <t xml:space="preserve">Engagement analysis</t>
  </si>
  <si>
    <t xml:space="preserve">Leave start / return date</t>
  </si>
  <si>
    <t xml:space="preserve">Time off or employment</t>
  </si>
  <si>
    <t xml:space="preserve">Return-from-leave trigger</t>
  </si>
  <si>
    <t xml:space="preserve">Moves</t>
  </si>
  <si>
    <t xml:space="preserve">Do not send government ID numbers, bank details or other regulated identifiers in this workbook. Sensitive attributes are listed only to decide whether they are permitted.</t>
  </si>
  <si>
    <t xml:space="preserve">16-Week Plan and Risk Register</t>
  </si>
  <si>
    <t xml:space="preserve">Illustrative plan for a go-live in weeks 14-15 (Feb 2027). Change the start date in the blue cell; week headers update.</t>
  </si>
  <si>
    <t xml:space="preserve">Project start (Monday)</t>
  </si>
  <si>
    <t xml:space="preserve">Phase</t>
  </si>
  <si>
    <t xml:space="preserve">Key activities</t>
  </si>
  <si>
    <t xml:space="preserve">Mobilise &amp; discover</t>
  </si>
  <si>
    <t xml:space="preserve">Kick-off, questionnaire issued and walked through, stakeholder interviews, licence and tenant confirmed, security and legal review started</t>
  </si>
  <si>
    <t xml:space="preserve">Design</t>
  </si>
  <si>
    <t xml:space="preserve">Use-case scope confirmed, hierarchy and data mapping, integration design, roles and anonymity rules, survey content and translations started</t>
  </si>
  <si>
    <t xml:space="preserve">Build &amp; integrate</t>
  </si>
  <si>
    <t xml:space="preserve">Directory and integration build, project configuration, dashboards, roles, messages, translations loaded</t>
  </si>
  <si>
    <t xml:space="preserve">Test &amp; pilot</t>
  </si>
  <si>
    <t xml:space="preserve">Integration test, UAT, privacy and accessibility checks, pilot with a small population</t>
  </si>
  <si>
    <t xml:space="preserve">Go-live preparation</t>
  </si>
  <si>
    <t xml:space="preserve">Communications, manager toolkit, training, support model, cutover plan</t>
  </si>
  <si>
    <t xml:space="preserve">Go-live</t>
  </si>
  <si>
    <t xml:space="preserve">Launch Wave 1 use cases; monitor syncs and participation</t>
  </si>
  <si>
    <t xml:space="preserve">Hypercare &amp; handover</t>
  </si>
  <si>
    <t xml:space="preserve">Daily monitoring, fixes, knowledge transfer, Wave 2 planning</t>
  </si>
  <si>
    <t xml:space="preserve">Plan notes</t>
  </si>
  <si>
    <t xml:space="preserve">Year-end holidays typically remove one to two weeks of capacity between late December and early January. Check regional calendars and festival dates for each country.</t>
  </si>
  <si>
    <t xml:space="preserve">Security, privacy and consultation work starts in week 1 because it often gates access to real employee data.</t>
  </si>
  <si>
    <t xml:space="preserve">If Wave 1 is limited to Engagement or Pulse plus Onboarding and Exit, the plan holds. Adding 360 or candidate experience usually needs Phase 2.</t>
  </si>
  <si>
    <t xml:space="preserve">Risk register</t>
  </si>
  <si>
    <t xml:space="preserve">Risk</t>
  </si>
  <si>
    <t xml:space="preserve">Mitigation</t>
  </si>
  <si>
    <t xml:space="preserve">Likelihood (1-5)</t>
  </si>
  <si>
    <t xml:space="preserve">Impact (1-5)</t>
  </si>
  <si>
    <t xml:space="preserve">Score</t>
  </si>
  <si>
    <t xml:space="preserve">Rating</t>
  </si>
  <si>
    <t xml:space="preserve">Owner</t>
  </si>
  <si>
    <t xml:space="preserve">Vendor security, privacy or DPIA review runs past the build start</t>
  </si>
  <si>
    <t xml:space="preserve">Start reviews in week 1; share Qualtrics security pack early; build on test data in the meantime</t>
  </si>
  <si>
    <t xml:space="preserve">Works council or union consultation required in one or more countries</t>
  </si>
  <si>
    <t xml:space="preserve">Identify countries in week 2; launch in unaffected countries first; prepare consultation pack</t>
  </si>
  <si>
    <t xml:space="preserve">Legal / Employee Relations</t>
  </si>
  <si>
    <t xml:space="preserve">Other SF modules go live in the same window and consume the same people</t>
  </si>
  <si>
    <t xml:space="preserve">Agree a single resource plan and change calendar; avoid EX testing during cutovers</t>
  </si>
  <si>
    <t xml:space="preserve">PMO</t>
  </si>
  <si>
    <t xml:space="preserve">EC data quality (manager, email, location) creates wrong survey populations</t>
  </si>
  <si>
    <t xml:space="preserve">Run a data-quality profile in weeks 2-3; fix at source; add exception reports</t>
  </si>
  <si>
    <t xml:space="preserve">HRIS</t>
  </si>
  <si>
    <t xml:space="preserve">Integration capacity (BTP or API skills) is not available</t>
  </si>
  <si>
    <t xml:space="preserve">Confirm the build owner in week 2; fall back to SFTP file feed for Wave 1</t>
  </si>
  <si>
    <t xml:space="preserve">IT</t>
  </si>
  <si>
    <t xml:space="preserve">Lifecycle triggers depend on modules that are not yet live</t>
  </si>
  <si>
    <t xml:space="preserve">Use EC hire and termination events; manual or file triggers for the rest; defer candidate use case</t>
  </si>
  <si>
    <t xml:space="preserve">Translation and legal text approval delays survey content</t>
  </si>
  <si>
    <t xml:space="preserve">Freeze source content by week 5; start translation by week 6; limit launch languages</t>
  </si>
  <si>
    <t xml:space="preserve">HR</t>
  </si>
  <si>
    <t xml:space="preserve">Anonymity thresholds not met for small teams</t>
  </si>
  <si>
    <t xml:space="preserve">Agree minimum group size and roll-up rules in design; test with real hierarchy</t>
  </si>
  <si>
    <t xml:space="preserve">Holiday and year-end periods remove key people for one to two weeks</t>
  </si>
  <si>
    <t xml:space="preserve">Plan around regional calendars; book UAT and pilot slots early</t>
  </si>
  <si>
    <t xml:space="preserve">360 overlaps with PMGM multi-rater and creates two processes</t>
  </si>
  <si>
    <t xml:space="preserve">Decide the system of record in week 2; start with one population</t>
  </si>
  <si>
    <t xml:space="preserve">Employee trust is low and participation falls short</t>
  </si>
  <si>
    <t xml:space="preserve">Early comms, clear anonymity message, visible leader sponsorship, you-said-we-did plan</t>
  </si>
  <si>
    <t xml:space="preserve">Invitation emails blocked or filtered</t>
  </si>
  <si>
    <t xml:space="preserve">Allow-list sender and domain; test deliverability in UAT; use multiple channels</t>
  </si>
  <si>
    <t xml:space="preserve">Scope grows beyond the minimum viable launch</t>
  </si>
  <si>
    <t xml:space="preserve">Hold a Wave 1 / Phase 2 line; change control through the steering committee</t>
  </si>
  <si>
    <t xml:space="preserve">AI features not approved by Legal or employee representatives</t>
  </si>
  <si>
    <t xml:space="preserve">Raise in week 2; go live without AI summaries if needed</t>
  </si>
  <si>
    <t xml:space="preserve">Legal</t>
  </si>
  <si>
    <t xml:space="preserve">Likelihood and impact scores are our starting estimates (blue). Replace them with the client's view.</t>
  </si>
  <si>
    <t xml:space="preserve">Stakeholders and Respondents</t>
  </si>
  <si>
    <t xml:space="preserve">Name the person for each role so questions can be routed. Add rows as needed.</t>
  </si>
  <si>
    <t xml:space="preserve">Role</t>
  </si>
  <si>
    <t xml:space="preserve">Why needed</t>
  </si>
  <si>
    <t xml:space="preserve">Typical involvement</t>
  </si>
  <si>
    <t xml:space="preserve">Name</t>
  </si>
  <si>
    <t xml:space="preserve">Email</t>
  </si>
  <si>
    <t xml:space="preserve">Availability / notes</t>
  </si>
  <si>
    <t xml:space="preserve">Owns scope, budget and date decisions</t>
  </si>
  <si>
    <t xml:space="preserve">Weeks 1-16</t>
  </si>
  <si>
    <t xml:space="preserve">CHRO / Head of People</t>
  </si>
  <si>
    <t xml:space="preserve">Business owner of EX outcomes</t>
  </si>
  <si>
    <t xml:space="preserve">EC data, triggers, module calendar</t>
  </si>
  <si>
    <t xml:space="preserve">People Analytics Lead</t>
  </si>
  <si>
    <t xml:space="preserve">Hierarchy, anonymity, reporting design</t>
  </si>
  <si>
    <t xml:space="preserve">Weeks 2-16</t>
  </si>
  <si>
    <t xml:space="preserve">Talent &amp; L&amp;D Lead</t>
  </si>
  <si>
    <t xml:space="preserve">360, manager development, competencies</t>
  </si>
  <si>
    <t xml:space="preserve">Weeks 2-14</t>
  </si>
  <si>
    <t xml:space="preserve">Talent Acquisition Lead</t>
  </si>
  <si>
    <t xml:space="preserve">Onboarding and candidate experience</t>
  </si>
  <si>
    <t xml:space="preserve">Weeks 2-12</t>
  </si>
  <si>
    <t xml:space="preserve">IT / Integration Architect</t>
  </si>
  <si>
    <t xml:space="preserve">Integration, SSO, environments</t>
  </si>
  <si>
    <t xml:space="preserve">Information Security Lead</t>
  </si>
  <si>
    <t xml:space="preserve">Vendor review, access, API security</t>
  </si>
  <si>
    <t xml:space="preserve">Weeks 1-12</t>
  </si>
  <si>
    <t xml:space="preserve">Data Protection Officer / Legal</t>
  </si>
  <si>
    <t xml:space="preserve">DPIA, consent, retention, AI policy</t>
  </si>
  <si>
    <t xml:space="preserve">Employee Relations / Works Council liaison</t>
  </si>
  <si>
    <t xml:space="preserve">Consultation and country rules</t>
  </si>
  <si>
    <t xml:space="preserve">Weeks 1-10</t>
  </si>
  <si>
    <t xml:space="preserve">Internal Communications Lead</t>
  </si>
  <si>
    <t xml:space="preserve">Invitations, trust messaging, FAQ</t>
  </si>
  <si>
    <t xml:space="preserve">Weeks 4-16</t>
  </si>
  <si>
    <t xml:space="preserve">Procurement / Finance</t>
  </si>
  <si>
    <t xml:space="preserve">Contract, licences, budget</t>
  </si>
  <si>
    <t xml:space="preserve">Weeks 1-6</t>
  </si>
  <si>
    <t xml:space="preserve">SF Implementation Partner PM</t>
  </si>
  <si>
    <t xml:space="preserve">Cross-module sequencing</t>
  </si>
  <si>
    <t xml:space="preserve">SAP / Qualtrics Solution Architect</t>
  </si>
  <si>
    <t xml:space="preserve">Product and integration guidance</t>
  </si>
  <si>
    <t xml:space="preserve">HRBP Representatives</t>
  </si>
  <si>
    <t xml:space="preserve">Dashboard users, pilot</t>
  </si>
  <si>
    <t xml:space="preserve">Weeks 8-16</t>
  </si>
  <si>
    <t xml:space="preserve">Pilot Managers</t>
  </si>
  <si>
    <t xml:space="preserve">Pilot, feedback on toolkit</t>
  </si>
  <si>
    <t xml:space="preserve">Weeks 10-14</t>
  </si>
  <si>
    <t xml:space="preserve">Source</t>
  </si>
  <si>
    <t xml:space="preserve">Link</t>
  </si>
  <si>
    <t xml:space="preserve">Qualtrics Support: Step 1, Getting Ready to Launch Your 360 Project</t>
  </si>
  <si>
    <t xml:space="preserve">https://www.qualtrics.com/support/employee-experience/getting-started-employee-experience/360-onboarding/form-building/</t>
  </si>
  <si>
    <t xml:space="preserve">Qualtrics and SAP announce new partnership (SAP Endorsed Apps), Jan 2025</t>
  </si>
  <si>
    <t xml:space="preserve">https://www.qualtrics.com/articles/news/qualtrics-and-sap-announce-new-partnership-to-help-organizations-deliver-great-employee-experiences/</t>
  </si>
  <si>
    <t xml:space="preserve">SAP Store: Qualtrics XM for Employee Experience</t>
  </si>
  <si>
    <t xml:space="preserve">https://www.sap.com/uk/products/hcm/partners/qualtrics-llc-qualtrics-employee-experience.html</t>
  </si>
  <si>
    <t xml:space="preserve">SAP User Groups: Qualtrics / SuccessFactors integration roadmap (archived deck)</t>
  </si>
  <si>
    <t xml:space="preserve">https://assets.dm.ux.sap.com/webinars/sap-user-groups-k4u/pdfs/191212_qualtrics_successfactors_roadmap.pdf</t>
  </si>
  <si>
    <t xml:space="preserve">TechTarget: What capabilities does Qualtrics EmployeeXM offer?</t>
  </si>
  <si>
    <t xml:space="preserve">https://www.techtarget.com/enterprise-software/answer/What-capabilities-does-Qualtrics-EmployeeXM-offer</t>
  </si>
  <si>
    <t xml:space="preserve">Our own recommendations (use-case fit, plan, risks) are judgement, not vendor statements.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</si>
</sst>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dd\-mmm\-yyyy"/>
    <numFmt numFmtId="168" formatCode="dd\-mmm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4213D"/>
      <name val="Arial"/>
      <family val="0"/>
      <charset val="1"/>
    </font>
    <font>
      <i val="true"/>
      <sz val="10"/>
      <color rgb="FF5B6573"/>
      <name val="Arial"/>
      <family val="0"/>
      <charset val="1"/>
    </font>
    <font>
      <b val="true"/>
      <sz val="10"/>
      <color rgb="FF14213D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4213D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C777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F9F9F9"/>
      </patternFill>
    </fill>
    <fill>
      <patternFill patternType="solid">
        <fgColor rgb="FF14213D"/>
        <bgColor rgb="FF003366"/>
      </patternFill>
    </fill>
    <fill>
      <patternFill patternType="solid">
        <fgColor rgb="FFE3E8EE"/>
        <bgColor rgb="FFD9D9D9"/>
      </patternFill>
    </fill>
    <fill>
      <patternFill patternType="solid">
        <fgColor rgb="FF1B998B"/>
        <bgColor rgb="FF008080"/>
      </patternFill>
    </fill>
    <fill>
      <patternFill patternType="solid">
        <fgColor rgb="FFF2A541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16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7" fontId="1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3" borderId="1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421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B3261E"/>
          <bgColor rgb="FF000000"/>
        </patternFill>
      </fill>
    </dxf>
    <dxf>
      <fill>
        <patternFill patternType="solid">
          <fgColor rgb="FFC77700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ont>
        <name val="Arial"/>
        <charset val="1"/>
        <family val="0"/>
        <b val="1"/>
        <color rgb="FFB3261E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2CC"/>
      <rgbColor rgb="FFE3E8EE"/>
      <rgbColor rgb="FF660066"/>
      <rgbColor rgb="FFFF8080"/>
      <rgbColor rgb="FF0563C1"/>
      <rgbColor rgb="FFD0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C6EFCE"/>
      <rgbColor rgb="FFFFEB9C"/>
      <rgbColor rgb="FF99CCFF"/>
      <rgbColor rgb="FFFF99CC"/>
      <rgbColor rgb="FFCC99FF"/>
      <rgbColor rgb="FFFFC7CE"/>
      <rgbColor rgb="FF4F81BD"/>
      <rgbColor rgb="FF33CCCC"/>
      <rgbColor rgb="FF99CC00"/>
      <rgbColor rgb="FFFFCC00"/>
      <rgbColor rgb="FFF2A541"/>
      <rgbColor rgb="FFC77700"/>
      <rgbColor rgb="FF5B6573"/>
      <rgbColor rgb="FF9AA5B1"/>
      <rgbColor rgb="FF003366"/>
      <rgbColor rgb="FF1B998B"/>
      <rgbColor rgb="FF003300"/>
      <rgbColor rgb="FF333300"/>
      <rgbColor rgb="FFB3261E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% complete by section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Summary!F4</c:f>
              <c:strCache>
                <c:ptCount val="1"/>
                <c:pt idx="0">
                  <c:v>% complete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Summary!$A$5:$A$23</c:f>
              <c:strCache>
                <c:ptCount val="19"/>
                <c:pt idx="0">
                  <c:v>Project Context &amp; Objectives</c:v>
                </c:pt>
                <c:pt idx="1">
                  <c:v>Use-Case Selection &amp; Prioritisation</c:v>
                </c:pt>
                <c:pt idx="2">
                  <c:v>Licensing, Commercials &amp; Contracting</c:v>
                </c:pt>
                <c:pt idx="3">
                  <c:v>Employee Engagement Survey</c:v>
                </c:pt>
                <c:pt idx="4">
                  <c:v>Pulse &amp; Ad Hoc Listening</c:v>
                </c:pt>
                <c:pt idx="5">
                  <c:v>Lifecycle Moments: Onboarding, Exit &amp; Candidate</c:v>
                </c:pt>
                <c:pt idx="6">
                  <c:v>360 / Multi-Rater Feedback</c:v>
                </c:pt>
                <c:pt idx="7">
                  <c:v>Manager Effectiveness &amp; Action Planning</c:v>
                </c:pt>
                <c:pt idx="8">
                  <c:v>Employee Technology Experience</c:v>
                </c:pt>
                <c:pt idx="9">
                  <c:v>Survey Content, Scales &amp; Languages</c:v>
                </c:pt>
                <c:pt idx="10">
                  <c:v>SuccessFactors Integration &amp; Architecture</c:v>
                </c:pt>
                <c:pt idx="11">
                  <c:v>Employee Data, Hierarchy &amp; Attributes</c:v>
                </c:pt>
                <c:pt idx="12">
                  <c:v>Reporting, Dashboards &amp; Analytics (incl. AI)</c:v>
                </c:pt>
                <c:pt idx="13">
                  <c:v>Security, Privacy &amp; Compliance</c:v>
                </c:pt>
                <c:pt idx="14">
                  <c:v>Roles, Access &amp; Governance</c:v>
                </c:pt>
                <c:pt idx="15">
                  <c:v>Communications, Change &amp; Adoption</c:v>
                </c:pt>
                <c:pt idx="16">
                  <c:v>Upcoming SuccessFactors Modules &amp; Sequencing</c:v>
                </c:pt>
                <c:pt idx="17">
                  <c:v>Delivery, Timeline, Testing &amp; Support</c:v>
                </c:pt>
                <c:pt idx="18">
                  <c:v>Success Measures &amp; Operating Model</c:v>
                </c:pt>
              </c:strCache>
            </c:strRef>
          </c:cat>
          <c:val>
            <c:numRef>
              <c:f>Summary!$F$5:$F$23</c:f>
              <c:numCache>
                <c:formatCode>0%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gapWidth val="150"/>
        <c:overlap val="0"/>
        <c:axId val="27645433"/>
        <c:axId val="86611765"/>
      </c:barChart>
      <c:catAx>
        <c:axId val="2764543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611765"/>
        <c:crosses val="autoZero"/>
        <c:auto val="1"/>
        <c:lblAlgn val="ctr"/>
        <c:lblOffset val="100"/>
        <c:noMultiLvlLbl val="0"/>
      </c:catAx>
      <c:valAx>
        <c:axId val="86611765"/>
        <c:scaling>
          <c:orientation val="minMax"/>
          <c:max val="1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64543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131040</xdr:rowOff>
    </xdr:from>
    <xdr:to>
      <xdr:col>17</xdr:col>
      <xdr:colOff>255960</xdr:colOff>
      <xdr:row>24</xdr:row>
      <xdr:rowOff>69120</xdr:rowOff>
    </xdr:to>
    <xdr:graphicFrame>
      <xdr:nvGraphicFramePr>
        <xdr:cNvPr id="0" name="Chart 1"/>
        <xdr:cNvGraphicFramePr/>
      </xdr:nvGraphicFramePr>
      <xdr:xfrm>
        <a:off x="8858160" y="571680"/>
        <a:ext cx="575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hyperlink" Target="https://www.qualtrics.com/support/employee-experience/getting-started-employee-experience/360-onboarding/form-building/" TargetMode="External"/><Relationship Id="rId2" Type="http://schemas.openxmlformats.org/officeDocument/2006/relationships/hyperlink" Target="https://www.qualtrics.com/articles/news/qualtrics-and-sap-announce-new-partnership-to-help-organizations-deliver-great-employee-experiences/" TargetMode="External"/><Relationship Id="rId3" Type="http://schemas.openxmlformats.org/officeDocument/2006/relationships/hyperlink" Target="https://www.sap.com/uk/products/hcm/partners/qualtrics-llc-qualtrics-employee-experience.html" TargetMode="External"/><Relationship Id="rId4" Type="http://schemas.openxmlformats.org/officeDocument/2006/relationships/hyperlink" Target="https://assets.dm.ux.sap.com/webinars/sap-user-groups-k4u/pdfs/191212_qualtrics_successfactors_roadmap.pdf" TargetMode="External"/><Relationship Id="rId5" Type="http://schemas.openxmlformats.org/officeDocument/2006/relationships/hyperlink" Target="https://www.techtarget.com/enterprise-software/answer/What-capabilities-does-Qualtrics-EmployeeXM-off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4213D"/>
    <pageSetUpPr fitToPage="true"/>
  </sheetPr>
  <dimension ref="A1:B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9.5" hidden="false" customHeight="true" outlineLevel="0" collapsed="false">
      <c r="A4" s="3" t="s">
        <v>2</v>
      </c>
      <c r="B4" s="4" t="s">
        <v>3</v>
      </c>
    </row>
    <row r="5" customFormat="false" ht="19.5" hidden="false" customHeight="true" outlineLevel="0" collapsed="false">
      <c r="A5" s="3" t="s">
        <v>4</v>
      </c>
      <c r="B5" s="4" t="s">
        <v>5</v>
      </c>
    </row>
    <row r="6" customFormat="false" ht="33" hidden="false" customHeight="true" outlineLevel="0" collapsed="false">
      <c r="A6" s="3" t="s">
        <v>6</v>
      </c>
      <c r="B6" s="5" t="s">
        <v>7</v>
      </c>
    </row>
    <row r="7" customFormat="false" ht="33" hidden="false" customHeight="true" outlineLevel="0" collapsed="false">
      <c r="A7" s="3" t="s">
        <v>8</v>
      </c>
      <c r="B7" s="5" t="s">
        <v>9</v>
      </c>
    </row>
    <row r="8" customFormat="false" ht="46.5" hidden="false" customHeight="true" outlineLevel="0" collapsed="false">
      <c r="A8" s="3" t="s">
        <v>10</v>
      </c>
      <c r="B8" s="5" t="s">
        <v>11</v>
      </c>
    </row>
    <row r="9" customFormat="false" ht="33" hidden="false" customHeight="true" outlineLevel="0" collapsed="false">
      <c r="A9" s="3" t="s">
        <v>12</v>
      </c>
      <c r="B9" s="5" t="s">
        <v>13</v>
      </c>
    </row>
    <row r="10" customFormat="false" ht="33" hidden="false" customHeight="true" outlineLevel="0" collapsed="false">
      <c r="A10" s="3" t="s">
        <v>14</v>
      </c>
      <c r="B10" s="5" t="s">
        <v>15</v>
      </c>
    </row>
    <row r="11" customFormat="false" ht="33" hidden="false" customHeight="true" outlineLevel="0" collapsed="false">
      <c r="A11" s="3" t="s">
        <v>16</v>
      </c>
      <c r="B11" s="5" t="s">
        <v>17</v>
      </c>
    </row>
    <row r="12" customFormat="false" ht="33" hidden="false" customHeight="true" outlineLevel="0" collapsed="false">
      <c r="A12" s="3" t="s">
        <v>18</v>
      </c>
      <c r="B12" s="5" t="s">
        <v>19</v>
      </c>
    </row>
    <row r="13" customFormat="false" ht="33" hidden="false" customHeight="true" outlineLevel="0" collapsed="false">
      <c r="A13" s="3" t="s">
        <v>20</v>
      </c>
      <c r="B13" s="5" t="s">
        <v>21</v>
      </c>
    </row>
    <row r="14" customFormat="false" ht="33" hidden="false" customHeight="true" outlineLevel="0" collapsed="false">
      <c r="A14" s="3" t="s">
        <v>22</v>
      </c>
      <c r="B14" s="5" t="s">
        <v>23</v>
      </c>
    </row>
    <row r="16" customFormat="false" ht="15" hidden="false" customHeight="false" outlineLevel="0" collapsed="false">
      <c r="A16" s="6" t="s">
        <v>24</v>
      </c>
    </row>
    <row r="17" customFormat="false" ht="19.5" hidden="false" customHeight="true" outlineLevel="0" collapsed="false">
      <c r="A17" s="7" t="s">
        <v>25</v>
      </c>
      <c r="B17" s="5" t="s">
        <v>26</v>
      </c>
    </row>
    <row r="18" customFormat="false" ht="33" hidden="false" customHeight="true" outlineLevel="0" collapsed="false">
      <c r="A18" s="7" t="s">
        <v>27</v>
      </c>
      <c r="B18" s="5" t="s">
        <v>28</v>
      </c>
    </row>
    <row r="19" customFormat="false" ht="33" hidden="false" customHeight="true" outlineLevel="0" collapsed="false">
      <c r="A19" s="7" t="s">
        <v>29</v>
      </c>
      <c r="B19" s="4" t="s">
        <v>30</v>
      </c>
    </row>
    <row r="20" customFormat="false" ht="19.5" hidden="false" customHeight="true" outlineLevel="0" collapsed="false">
      <c r="A20" s="7" t="s">
        <v>31</v>
      </c>
      <c r="B20" s="4" t="s">
        <v>32</v>
      </c>
    </row>
    <row r="21" customFormat="false" ht="19.5" hidden="false" customHeight="true" outlineLevel="0" collapsed="false">
      <c r="A21" s="7" t="s">
        <v>33</v>
      </c>
      <c r="B21" s="4" t="s">
        <v>34</v>
      </c>
    </row>
    <row r="22" customFormat="false" ht="19.5" hidden="false" customHeight="true" outlineLevel="0" collapsed="false">
      <c r="A22" s="7" t="s">
        <v>35</v>
      </c>
      <c r="B22" s="4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998B"/>
    <pageSetUpPr fitToPage="true"/>
  </sheetPr>
  <dimension ref="A1:G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3" min="2" style="0" width="11"/>
    <col collapsed="false" customWidth="true" hidden="false" outlineLevel="0" max="4" min="4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4"/>
  </cols>
  <sheetData>
    <row r="1" customFormat="false" ht="19.7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30" hidden="false" customHeight="true" outlineLevel="0" collapsed="false">
      <c r="A4" s="8" t="s">
        <v>39</v>
      </c>
      <c r="B4" s="8" t="s">
        <v>40</v>
      </c>
      <c r="C4" s="8" t="s">
        <v>41</v>
      </c>
      <c r="D4" s="8" t="s">
        <v>42</v>
      </c>
      <c r="E4" s="8" t="s">
        <v>43</v>
      </c>
      <c r="F4" s="8" t="s">
        <v>44</v>
      </c>
      <c r="G4" s="8" t="s">
        <v>45</v>
      </c>
    </row>
    <row r="5" customFormat="false" ht="15" hidden="false" customHeight="false" outlineLevel="0" collapsed="false">
      <c r="A5" s="9" t="s">
        <v>46</v>
      </c>
      <c r="B5" s="10" t="n">
        <f aca="false">COUNTIFS(Questionnaire!$B$5:$B$204,$A5)</f>
        <v>11</v>
      </c>
      <c r="C5" s="10" t="n">
        <f aca="false">COUNTIFS(Questionnaire!$B$5:$B$204,$A5,Questionnaire!$G$5:$G$204,"P1*")</f>
        <v>8</v>
      </c>
      <c r="D5" s="10" t="n">
        <f aca="false">COUNTIFS(Questionnaire!$B$5:$B$204,$A5,Questionnaire!$L$5:$L$204,"Answered")+COUNTIFS(Questionnaire!$B$5:$B$204,$A5,Questionnaire!$L$5:$L$204,"Not applicable")</f>
        <v>0</v>
      </c>
      <c r="E5" s="10" t="n">
        <f aca="false">B5-D5</f>
        <v>11</v>
      </c>
      <c r="F5" s="11" t="n">
        <f aca="false">IF(B5=0,0,D5/B5)</f>
        <v>0</v>
      </c>
      <c r="G5" s="10" t="n">
        <f aca="false">C5-COUNTIFS(Questionnaire!$B$5:$B$204,$A5,Questionnaire!$G$5:$G$204,"P1*",Questionnaire!$L$5:$L$204,"Answered")-COUNTIFS(Questionnaire!$B$5:$B$204,$A5,Questionnaire!$G$5:$G$204,"P1*",Questionnaire!$L$5:$L$204,"Not applicable")</f>
        <v>8</v>
      </c>
    </row>
    <row r="6" customFormat="false" ht="15" hidden="false" customHeight="false" outlineLevel="0" collapsed="false">
      <c r="A6" s="9" t="s">
        <v>47</v>
      </c>
      <c r="B6" s="10" t="n">
        <f aca="false">COUNTIFS(Questionnaire!$B$5:$B$204,$A6)</f>
        <v>9</v>
      </c>
      <c r="C6" s="10" t="n">
        <f aca="false">COUNTIFS(Questionnaire!$B$5:$B$204,$A6,Questionnaire!$G$5:$G$204,"P1*")</f>
        <v>6</v>
      </c>
      <c r="D6" s="10" t="n">
        <f aca="false">COUNTIFS(Questionnaire!$B$5:$B$204,$A6,Questionnaire!$L$5:$L$204,"Answered")+COUNTIFS(Questionnaire!$B$5:$B$204,$A6,Questionnaire!$L$5:$L$204,"Not applicable")</f>
        <v>0</v>
      </c>
      <c r="E6" s="10" t="n">
        <f aca="false">B6-D6</f>
        <v>9</v>
      </c>
      <c r="F6" s="11" t="n">
        <f aca="false">IF(B6=0,0,D6/B6)</f>
        <v>0</v>
      </c>
      <c r="G6" s="10" t="n">
        <f aca="false">C6-COUNTIFS(Questionnaire!$B$5:$B$204,$A6,Questionnaire!$G$5:$G$204,"P1*",Questionnaire!$L$5:$L$204,"Answered")-COUNTIFS(Questionnaire!$B$5:$B$204,$A6,Questionnaire!$G$5:$G$204,"P1*",Questionnaire!$L$5:$L$204,"Not applicable")</f>
        <v>6</v>
      </c>
    </row>
    <row r="7" customFormat="false" ht="15" hidden="false" customHeight="false" outlineLevel="0" collapsed="false">
      <c r="A7" s="9" t="s">
        <v>48</v>
      </c>
      <c r="B7" s="10" t="n">
        <f aca="false">COUNTIFS(Questionnaire!$B$5:$B$204,$A7)</f>
        <v>8</v>
      </c>
      <c r="C7" s="10" t="n">
        <f aca="false">COUNTIFS(Questionnaire!$B$5:$B$204,$A7,Questionnaire!$G$5:$G$204,"P1*")</f>
        <v>5</v>
      </c>
      <c r="D7" s="10" t="n">
        <f aca="false">COUNTIFS(Questionnaire!$B$5:$B$204,$A7,Questionnaire!$L$5:$L$204,"Answered")+COUNTIFS(Questionnaire!$B$5:$B$204,$A7,Questionnaire!$L$5:$L$204,"Not applicable")</f>
        <v>0</v>
      </c>
      <c r="E7" s="10" t="n">
        <f aca="false">B7-D7</f>
        <v>8</v>
      </c>
      <c r="F7" s="11" t="n">
        <f aca="false">IF(B7=0,0,D7/B7)</f>
        <v>0</v>
      </c>
      <c r="G7" s="10" t="n">
        <f aca="false">C7-COUNTIFS(Questionnaire!$B$5:$B$204,$A7,Questionnaire!$G$5:$G$204,"P1*",Questionnaire!$L$5:$L$204,"Answered")-COUNTIFS(Questionnaire!$B$5:$B$204,$A7,Questionnaire!$G$5:$G$204,"P1*",Questionnaire!$L$5:$L$204,"Not applicable")</f>
        <v>5</v>
      </c>
    </row>
    <row r="8" customFormat="false" ht="15" hidden="false" customHeight="false" outlineLevel="0" collapsed="false">
      <c r="A8" s="9" t="s">
        <v>49</v>
      </c>
      <c r="B8" s="10" t="n">
        <f aca="false">COUNTIFS(Questionnaire!$B$5:$B$204,$A8)</f>
        <v>11</v>
      </c>
      <c r="C8" s="10" t="n">
        <f aca="false">COUNTIFS(Questionnaire!$B$5:$B$204,$A8,Questionnaire!$G$5:$G$204,"P1*")</f>
        <v>7</v>
      </c>
      <c r="D8" s="10" t="n">
        <f aca="false">COUNTIFS(Questionnaire!$B$5:$B$204,$A8,Questionnaire!$L$5:$L$204,"Answered")+COUNTIFS(Questionnaire!$B$5:$B$204,$A8,Questionnaire!$L$5:$L$204,"Not applicable")</f>
        <v>0</v>
      </c>
      <c r="E8" s="10" t="n">
        <f aca="false">B8-D8</f>
        <v>11</v>
      </c>
      <c r="F8" s="11" t="n">
        <f aca="false">IF(B8=0,0,D8/B8)</f>
        <v>0</v>
      </c>
      <c r="G8" s="10" t="n">
        <f aca="false">C8-COUNTIFS(Questionnaire!$B$5:$B$204,$A8,Questionnaire!$G$5:$G$204,"P1*",Questionnaire!$L$5:$L$204,"Answered")-COUNTIFS(Questionnaire!$B$5:$B$204,$A8,Questionnaire!$G$5:$G$204,"P1*",Questionnaire!$L$5:$L$204,"Not applicable")</f>
        <v>7</v>
      </c>
    </row>
    <row r="9" customFormat="false" ht="15" hidden="false" customHeight="false" outlineLevel="0" collapsed="false">
      <c r="A9" s="9" t="s">
        <v>50</v>
      </c>
      <c r="B9" s="10" t="n">
        <f aca="false">COUNTIFS(Questionnaire!$B$5:$B$204,$A9)</f>
        <v>8</v>
      </c>
      <c r="C9" s="10" t="n">
        <f aca="false">COUNTIFS(Questionnaire!$B$5:$B$204,$A9,Questionnaire!$G$5:$G$204,"P1*")</f>
        <v>3</v>
      </c>
      <c r="D9" s="10" t="n">
        <f aca="false">COUNTIFS(Questionnaire!$B$5:$B$204,$A9,Questionnaire!$L$5:$L$204,"Answered")+COUNTIFS(Questionnaire!$B$5:$B$204,$A9,Questionnaire!$L$5:$L$204,"Not applicable")</f>
        <v>0</v>
      </c>
      <c r="E9" s="10" t="n">
        <f aca="false">B9-D9</f>
        <v>8</v>
      </c>
      <c r="F9" s="11" t="n">
        <f aca="false">IF(B9=0,0,D9/B9)</f>
        <v>0</v>
      </c>
      <c r="G9" s="10" t="n">
        <f aca="false">C9-COUNTIFS(Questionnaire!$B$5:$B$204,$A9,Questionnaire!$G$5:$G$204,"P1*",Questionnaire!$L$5:$L$204,"Answered")-COUNTIFS(Questionnaire!$B$5:$B$204,$A9,Questionnaire!$G$5:$G$204,"P1*",Questionnaire!$L$5:$L$204,"Not applicable")</f>
        <v>3</v>
      </c>
    </row>
    <row r="10" customFormat="false" ht="15" hidden="false" customHeight="false" outlineLevel="0" collapsed="false">
      <c r="A10" s="9" t="s">
        <v>51</v>
      </c>
      <c r="B10" s="10" t="n">
        <f aca="false">COUNTIFS(Questionnaire!$B$5:$B$204,$A10)</f>
        <v>14</v>
      </c>
      <c r="C10" s="10" t="n">
        <f aca="false">COUNTIFS(Questionnaire!$B$5:$B$204,$A10,Questionnaire!$G$5:$G$204,"P1*")</f>
        <v>8</v>
      </c>
      <c r="D10" s="10" t="n">
        <f aca="false">COUNTIFS(Questionnaire!$B$5:$B$204,$A10,Questionnaire!$L$5:$L$204,"Answered")+COUNTIFS(Questionnaire!$B$5:$B$204,$A10,Questionnaire!$L$5:$L$204,"Not applicable")</f>
        <v>0</v>
      </c>
      <c r="E10" s="10" t="n">
        <f aca="false">B10-D10</f>
        <v>14</v>
      </c>
      <c r="F10" s="11" t="n">
        <f aca="false">IF(B10=0,0,D10/B10)</f>
        <v>0</v>
      </c>
      <c r="G10" s="10" t="n">
        <f aca="false">C10-COUNTIFS(Questionnaire!$B$5:$B$204,$A10,Questionnaire!$G$5:$G$204,"P1*",Questionnaire!$L$5:$L$204,"Answered")-COUNTIFS(Questionnaire!$B$5:$B$204,$A10,Questionnaire!$G$5:$G$204,"P1*",Questionnaire!$L$5:$L$204,"Not applicable")</f>
        <v>8</v>
      </c>
    </row>
    <row r="11" customFormat="false" ht="15" hidden="false" customHeight="false" outlineLevel="0" collapsed="false">
      <c r="A11" s="9" t="s">
        <v>52</v>
      </c>
      <c r="B11" s="10" t="n">
        <f aca="false">COUNTIFS(Questionnaire!$B$5:$B$204,$A11)</f>
        <v>14</v>
      </c>
      <c r="C11" s="10" t="n">
        <f aca="false">COUNTIFS(Questionnaire!$B$5:$B$204,$A11,Questionnaire!$G$5:$G$204,"P1*")</f>
        <v>8</v>
      </c>
      <c r="D11" s="10" t="n">
        <f aca="false">COUNTIFS(Questionnaire!$B$5:$B$204,$A11,Questionnaire!$L$5:$L$204,"Answered")+COUNTIFS(Questionnaire!$B$5:$B$204,$A11,Questionnaire!$L$5:$L$204,"Not applicable")</f>
        <v>0</v>
      </c>
      <c r="E11" s="10" t="n">
        <f aca="false">B11-D11</f>
        <v>14</v>
      </c>
      <c r="F11" s="11" t="n">
        <f aca="false">IF(B11=0,0,D11/B11)</f>
        <v>0</v>
      </c>
      <c r="G11" s="10" t="n">
        <f aca="false">C11-COUNTIFS(Questionnaire!$B$5:$B$204,$A11,Questionnaire!$G$5:$G$204,"P1*",Questionnaire!$L$5:$L$204,"Answered")-COUNTIFS(Questionnaire!$B$5:$B$204,$A11,Questionnaire!$G$5:$G$204,"P1*",Questionnaire!$L$5:$L$204,"Not applicable")</f>
        <v>8</v>
      </c>
    </row>
    <row r="12" customFormat="false" ht="15" hidden="false" customHeight="false" outlineLevel="0" collapsed="false">
      <c r="A12" s="9" t="s">
        <v>53</v>
      </c>
      <c r="B12" s="10" t="n">
        <f aca="false">COUNTIFS(Questionnaire!$B$5:$B$204,$A12)</f>
        <v>9</v>
      </c>
      <c r="C12" s="10" t="n">
        <f aca="false">COUNTIFS(Questionnaire!$B$5:$B$204,$A12,Questionnaire!$G$5:$G$204,"P1*")</f>
        <v>3</v>
      </c>
      <c r="D12" s="10" t="n">
        <f aca="false">COUNTIFS(Questionnaire!$B$5:$B$204,$A12,Questionnaire!$L$5:$L$204,"Answered")+COUNTIFS(Questionnaire!$B$5:$B$204,$A12,Questionnaire!$L$5:$L$204,"Not applicable")</f>
        <v>0</v>
      </c>
      <c r="E12" s="10" t="n">
        <f aca="false">B12-D12</f>
        <v>9</v>
      </c>
      <c r="F12" s="11" t="n">
        <f aca="false">IF(B12=0,0,D12/B12)</f>
        <v>0</v>
      </c>
      <c r="G12" s="10" t="n">
        <f aca="false">C12-COUNTIFS(Questionnaire!$B$5:$B$204,$A12,Questionnaire!$G$5:$G$204,"P1*",Questionnaire!$L$5:$L$204,"Answered")-COUNTIFS(Questionnaire!$B$5:$B$204,$A12,Questionnaire!$G$5:$G$204,"P1*",Questionnaire!$L$5:$L$204,"Not applicable")</f>
        <v>3</v>
      </c>
    </row>
    <row r="13" customFormat="false" ht="15" hidden="false" customHeight="false" outlineLevel="0" collapsed="false">
      <c r="A13" s="9" t="s">
        <v>54</v>
      </c>
      <c r="B13" s="10" t="n">
        <f aca="false">COUNTIFS(Questionnaire!$B$5:$B$204,$A13)</f>
        <v>7</v>
      </c>
      <c r="C13" s="10" t="n">
        <f aca="false">COUNTIFS(Questionnaire!$B$5:$B$204,$A13,Questionnaire!$G$5:$G$204,"P1*")</f>
        <v>1</v>
      </c>
      <c r="D13" s="10" t="n">
        <f aca="false">COUNTIFS(Questionnaire!$B$5:$B$204,$A13,Questionnaire!$L$5:$L$204,"Answered")+COUNTIFS(Questionnaire!$B$5:$B$204,$A13,Questionnaire!$L$5:$L$204,"Not applicable")</f>
        <v>0</v>
      </c>
      <c r="E13" s="10" t="n">
        <f aca="false">B13-D13</f>
        <v>7</v>
      </c>
      <c r="F13" s="11" t="n">
        <f aca="false">IF(B13=0,0,D13/B13)</f>
        <v>0</v>
      </c>
      <c r="G13" s="10" t="n">
        <f aca="false">C13-COUNTIFS(Questionnaire!$B$5:$B$204,$A13,Questionnaire!$G$5:$G$204,"P1*",Questionnaire!$L$5:$L$204,"Answered")-COUNTIFS(Questionnaire!$B$5:$B$204,$A13,Questionnaire!$G$5:$G$204,"P1*",Questionnaire!$L$5:$L$204,"Not applicable")</f>
        <v>1</v>
      </c>
    </row>
    <row r="14" customFormat="false" ht="15" hidden="false" customHeight="false" outlineLevel="0" collapsed="false">
      <c r="A14" s="9" t="s">
        <v>55</v>
      </c>
      <c r="B14" s="10" t="n">
        <f aca="false">COUNTIFS(Questionnaire!$B$5:$B$204,$A14)</f>
        <v>10</v>
      </c>
      <c r="C14" s="10" t="n">
        <f aca="false">COUNTIFS(Questionnaire!$B$5:$B$204,$A14,Questionnaire!$G$5:$G$204,"P1*")</f>
        <v>5</v>
      </c>
      <c r="D14" s="10" t="n">
        <f aca="false">COUNTIFS(Questionnaire!$B$5:$B$204,$A14,Questionnaire!$L$5:$L$204,"Answered")+COUNTIFS(Questionnaire!$B$5:$B$204,$A14,Questionnaire!$L$5:$L$204,"Not applicable")</f>
        <v>0</v>
      </c>
      <c r="E14" s="10" t="n">
        <f aca="false">B14-D14</f>
        <v>10</v>
      </c>
      <c r="F14" s="11" t="n">
        <f aca="false">IF(B14=0,0,D14/B14)</f>
        <v>0</v>
      </c>
      <c r="G14" s="10" t="n">
        <f aca="false">C14-COUNTIFS(Questionnaire!$B$5:$B$204,$A14,Questionnaire!$G$5:$G$204,"P1*",Questionnaire!$L$5:$L$204,"Answered")-COUNTIFS(Questionnaire!$B$5:$B$204,$A14,Questionnaire!$G$5:$G$204,"P1*",Questionnaire!$L$5:$L$204,"Not applicable")</f>
        <v>5</v>
      </c>
    </row>
    <row r="15" customFormat="false" ht="15" hidden="false" customHeight="false" outlineLevel="0" collapsed="false">
      <c r="A15" s="9" t="s">
        <v>56</v>
      </c>
      <c r="B15" s="10" t="n">
        <f aca="false">COUNTIFS(Questionnaire!$B$5:$B$204,$A15)</f>
        <v>15</v>
      </c>
      <c r="C15" s="10" t="n">
        <f aca="false">COUNTIFS(Questionnaire!$B$5:$B$204,$A15,Questionnaire!$G$5:$G$204,"P1*")</f>
        <v>10</v>
      </c>
      <c r="D15" s="10" t="n">
        <f aca="false">COUNTIFS(Questionnaire!$B$5:$B$204,$A15,Questionnaire!$L$5:$L$204,"Answered")+COUNTIFS(Questionnaire!$B$5:$B$204,$A15,Questionnaire!$L$5:$L$204,"Not applicable")</f>
        <v>0</v>
      </c>
      <c r="E15" s="10" t="n">
        <f aca="false">B15-D15</f>
        <v>15</v>
      </c>
      <c r="F15" s="11" t="n">
        <f aca="false">IF(B15=0,0,D15/B15)</f>
        <v>0</v>
      </c>
      <c r="G15" s="10" t="n">
        <f aca="false">C15-COUNTIFS(Questionnaire!$B$5:$B$204,$A15,Questionnaire!$G$5:$G$204,"P1*",Questionnaire!$L$5:$L$204,"Answered")-COUNTIFS(Questionnaire!$B$5:$B$204,$A15,Questionnaire!$G$5:$G$204,"P1*",Questionnaire!$L$5:$L$204,"Not applicable")</f>
        <v>10</v>
      </c>
    </row>
    <row r="16" customFormat="false" ht="15" hidden="false" customHeight="false" outlineLevel="0" collapsed="false">
      <c r="A16" s="9" t="s">
        <v>57</v>
      </c>
      <c r="B16" s="10" t="n">
        <f aca="false">COUNTIFS(Questionnaire!$B$5:$B$204,$A16)</f>
        <v>13</v>
      </c>
      <c r="C16" s="10" t="n">
        <f aca="false">COUNTIFS(Questionnaire!$B$5:$B$204,$A16,Questionnaire!$G$5:$G$204,"P1*")</f>
        <v>10</v>
      </c>
      <c r="D16" s="10" t="n">
        <f aca="false">COUNTIFS(Questionnaire!$B$5:$B$204,$A16,Questionnaire!$L$5:$L$204,"Answered")+COUNTIFS(Questionnaire!$B$5:$B$204,$A16,Questionnaire!$L$5:$L$204,"Not applicable")</f>
        <v>0</v>
      </c>
      <c r="E16" s="10" t="n">
        <f aca="false">B16-D16</f>
        <v>13</v>
      </c>
      <c r="F16" s="11" t="n">
        <f aca="false">IF(B16=0,0,D16/B16)</f>
        <v>0</v>
      </c>
      <c r="G16" s="10" t="n">
        <f aca="false">C16-COUNTIFS(Questionnaire!$B$5:$B$204,$A16,Questionnaire!$G$5:$G$204,"P1*",Questionnaire!$L$5:$L$204,"Answered")-COUNTIFS(Questionnaire!$B$5:$B$204,$A16,Questionnaire!$G$5:$G$204,"P1*",Questionnaire!$L$5:$L$204,"Not applicable")</f>
        <v>10</v>
      </c>
    </row>
    <row r="17" customFormat="false" ht="15" hidden="false" customHeight="false" outlineLevel="0" collapsed="false">
      <c r="A17" s="9" t="s">
        <v>58</v>
      </c>
      <c r="B17" s="10" t="n">
        <f aca="false">COUNTIFS(Questionnaire!$B$5:$B$204,$A17)</f>
        <v>11</v>
      </c>
      <c r="C17" s="10" t="n">
        <f aca="false">COUNTIFS(Questionnaire!$B$5:$B$204,$A17,Questionnaire!$G$5:$G$204,"P1*")</f>
        <v>3</v>
      </c>
      <c r="D17" s="10" t="n">
        <f aca="false">COUNTIFS(Questionnaire!$B$5:$B$204,$A17,Questionnaire!$L$5:$L$204,"Answered")+COUNTIFS(Questionnaire!$B$5:$B$204,$A17,Questionnaire!$L$5:$L$204,"Not applicable")</f>
        <v>0</v>
      </c>
      <c r="E17" s="10" t="n">
        <f aca="false">B17-D17</f>
        <v>11</v>
      </c>
      <c r="F17" s="11" t="n">
        <f aca="false">IF(B17=0,0,D17/B17)</f>
        <v>0</v>
      </c>
      <c r="G17" s="10" t="n">
        <f aca="false">C17-COUNTIFS(Questionnaire!$B$5:$B$204,$A17,Questionnaire!$G$5:$G$204,"P1*",Questionnaire!$L$5:$L$204,"Answered")-COUNTIFS(Questionnaire!$B$5:$B$204,$A17,Questionnaire!$G$5:$G$204,"P1*",Questionnaire!$L$5:$L$204,"Not applicable")</f>
        <v>3</v>
      </c>
    </row>
    <row r="18" customFormat="false" ht="15" hidden="false" customHeight="false" outlineLevel="0" collapsed="false">
      <c r="A18" s="9" t="s">
        <v>59</v>
      </c>
      <c r="B18" s="10" t="n">
        <f aca="false">COUNTIFS(Questionnaire!$B$5:$B$204,$A18)</f>
        <v>12</v>
      </c>
      <c r="C18" s="10" t="n">
        <f aca="false">COUNTIFS(Questionnaire!$B$5:$B$204,$A18,Questionnaire!$G$5:$G$204,"P1*")</f>
        <v>10</v>
      </c>
      <c r="D18" s="10" t="n">
        <f aca="false">COUNTIFS(Questionnaire!$B$5:$B$204,$A18,Questionnaire!$L$5:$L$204,"Answered")+COUNTIFS(Questionnaire!$B$5:$B$204,$A18,Questionnaire!$L$5:$L$204,"Not applicable")</f>
        <v>0</v>
      </c>
      <c r="E18" s="10" t="n">
        <f aca="false">B18-D18</f>
        <v>12</v>
      </c>
      <c r="F18" s="11" t="n">
        <f aca="false">IF(B18=0,0,D18/B18)</f>
        <v>0</v>
      </c>
      <c r="G18" s="10" t="n">
        <f aca="false">C18-COUNTIFS(Questionnaire!$B$5:$B$204,$A18,Questionnaire!$G$5:$G$204,"P1*",Questionnaire!$L$5:$L$204,"Answered")-COUNTIFS(Questionnaire!$B$5:$B$204,$A18,Questionnaire!$G$5:$G$204,"P1*",Questionnaire!$L$5:$L$204,"Not applicable")</f>
        <v>10</v>
      </c>
    </row>
    <row r="19" customFormat="false" ht="15" hidden="false" customHeight="false" outlineLevel="0" collapsed="false">
      <c r="A19" s="9" t="s">
        <v>60</v>
      </c>
      <c r="B19" s="10" t="n">
        <f aca="false">COUNTIFS(Questionnaire!$B$5:$B$204,$A19)</f>
        <v>8</v>
      </c>
      <c r="C19" s="10" t="n">
        <f aca="false">COUNTIFS(Questionnaire!$B$5:$B$204,$A19,Questionnaire!$G$5:$G$204,"P1*")</f>
        <v>5</v>
      </c>
      <c r="D19" s="10" t="n">
        <f aca="false">COUNTIFS(Questionnaire!$B$5:$B$204,$A19,Questionnaire!$L$5:$L$204,"Answered")+COUNTIFS(Questionnaire!$B$5:$B$204,$A19,Questionnaire!$L$5:$L$204,"Not applicable")</f>
        <v>0</v>
      </c>
      <c r="E19" s="10" t="n">
        <f aca="false">B19-D19</f>
        <v>8</v>
      </c>
      <c r="F19" s="11" t="n">
        <f aca="false">IF(B19=0,0,D19/B19)</f>
        <v>0</v>
      </c>
      <c r="G19" s="10" t="n">
        <f aca="false">C19-COUNTIFS(Questionnaire!$B$5:$B$204,$A19,Questionnaire!$G$5:$G$204,"P1*",Questionnaire!$L$5:$L$204,"Answered")-COUNTIFS(Questionnaire!$B$5:$B$204,$A19,Questionnaire!$G$5:$G$204,"P1*",Questionnaire!$L$5:$L$204,"Not applicable")</f>
        <v>5</v>
      </c>
    </row>
    <row r="20" customFormat="false" ht="15" hidden="false" customHeight="false" outlineLevel="0" collapsed="false">
      <c r="A20" s="9" t="s">
        <v>61</v>
      </c>
      <c r="B20" s="10" t="n">
        <f aca="false">COUNTIFS(Questionnaire!$B$5:$B$204,$A20)</f>
        <v>10</v>
      </c>
      <c r="C20" s="10" t="n">
        <f aca="false">COUNTIFS(Questionnaire!$B$5:$B$204,$A20,Questionnaire!$G$5:$G$204,"P1*")</f>
        <v>5</v>
      </c>
      <c r="D20" s="10" t="n">
        <f aca="false">COUNTIFS(Questionnaire!$B$5:$B$204,$A20,Questionnaire!$L$5:$L$204,"Answered")+COUNTIFS(Questionnaire!$B$5:$B$204,$A20,Questionnaire!$L$5:$L$204,"Not applicable")</f>
        <v>0</v>
      </c>
      <c r="E20" s="10" t="n">
        <f aca="false">B20-D20</f>
        <v>10</v>
      </c>
      <c r="F20" s="11" t="n">
        <f aca="false">IF(B20=0,0,D20/B20)</f>
        <v>0</v>
      </c>
      <c r="G20" s="10" t="n">
        <f aca="false">C20-COUNTIFS(Questionnaire!$B$5:$B$204,$A20,Questionnaire!$G$5:$G$204,"P1*",Questionnaire!$L$5:$L$204,"Answered")-COUNTIFS(Questionnaire!$B$5:$B$204,$A20,Questionnaire!$G$5:$G$204,"P1*",Questionnaire!$L$5:$L$204,"Not applicable")</f>
        <v>5</v>
      </c>
    </row>
    <row r="21" customFormat="false" ht="15" hidden="false" customHeight="false" outlineLevel="0" collapsed="false">
      <c r="A21" s="9" t="s">
        <v>62</v>
      </c>
      <c r="B21" s="10" t="n">
        <f aca="false">COUNTIFS(Questionnaire!$B$5:$B$204,$A21)</f>
        <v>10</v>
      </c>
      <c r="C21" s="10" t="n">
        <f aca="false">COUNTIFS(Questionnaire!$B$5:$B$204,$A21,Questionnaire!$G$5:$G$204,"P1*")</f>
        <v>6</v>
      </c>
      <c r="D21" s="10" t="n">
        <f aca="false">COUNTIFS(Questionnaire!$B$5:$B$204,$A21,Questionnaire!$L$5:$L$204,"Answered")+COUNTIFS(Questionnaire!$B$5:$B$204,$A21,Questionnaire!$L$5:$L$204,"Not applicable")</f>
        <v>0</v>
      </c>
      <c r="E21" s="10" t="n">
        <f aca="false">B21-D21</f>
        <v>10</v>
      </c>
      <c r="F21" s="11" t="n">
        <f aca="false">IF(B21=0,0,D21/B21)</f>
        <v>0</v>
      </c>
      <c r="G21" s="10" t="n">
        <f aca="false">C21-COUNTIFS(Questionnaire!$B$5:$B$204,$A21,Questionnaire!$G$5:$G$204,"P1*",Questionnaire!$L$5:$L$204,"Answered")-COUNTIFS(Questionnaire!$B$5:$B$204,$A21,Questionnaire!$G$5:$G$204,"P1*",Questionnaire!$L$5:$L$204,"Not applicable")</f>
        <v>6</v>
      </c>
    </row>
    <row r="22" customFormat="false" ht="15" hidden="false" customHeight="false" outlineLevel="0" collapsed="false">
      <c r="A22" s="9" t="s">
        <v>63</v>
      </c>
      <c r="B22" s="10" t="n">
        <f aca="false">COUNTIFS(Questionnaire!$B$5:$B$204,$A22)</f>
        <v>12</v>
      </c>
      <c r="C22" s="10" t="n">
        <f aca="false">COUNTIFS(Questionnaire!$B$5:$B$204,$A22,Questionnaire!$G$5:$G$204,"P1*")</f>
        <v>8</v>
      </c>
      <c r="D22" s="10" t="n">
        <f aca="false">COUNTIFS(Questionnaire!$B$5:$B$204,$A22,Questionnaire!$L$5:$L$204,"Answered")+COUNTIFS(Questionnaire!$B$5:$B$204,$A22,Questionnaire!$L$5:$L$204,"Not applicable")</f>
        <v>0</v>
      </c>
      <c r="E22" s="10" t="n">
        <f aca="false">B22-D22</f>
        <v>12</v>
      </c>
      <c r="F22" s="11" t="n">
        <f aca="false">IF(B22=0,0,D22/B22)</f>
        <v>0</v>
      </c>
      <c r="G22" s="10" t="n">
        <f aca="false">C22-COUNTIFS(Questionnaire!$B$5:$B$204,$A22,Questionnaire!$G$5:$G$204,"P1*",Questionnaire!$L$5:$L$204,"Answered")-COUNTIFS(Questionnaire!$B$5:$B$204,$A22,Questionnaire!$G$5:$G$204,"P1*",Questionnaire!$L$5:$L$204,"Not applicable")</f>
        <v>8</v>
      </c>
    </row>
    <row r="23" customFormat="false" ht="15" hidden="false" customHeight="false" outlineLevel="0" collapsed="false">
      <c r="A23" s="9" t="s">
        <v>64</v>
      </c>
      <c r="B23" s="10" t="n">
        <f aca="false">COUNTIFS(Questionnaire!$B$5:$B$204,$A23)</f>
        <v>8</v>
      </c>
      <c r="C23" s="10" t="n">
        <f aca="false">COUNTIFS(Questionnaire!$B$5:$B$204,$A23,Questionnaire!$G$5:$G$204,"P1*")</f>
        <v>2</v>
      </c>
      <c r="D23" s="10" t="n">
        <f aca="false">COUNTIFS(Questionnaire!$B$5:$B$204,$A23,Questionnaire!$L$5:$L$204,"Answered")+COUNTIFS(Questionnaire!$B$5:$B$204,$A23,Questionnaire!$L$5:$L$204,"Not applicable")</f>
        <v>0</v>
      </c>
      <c r="E23" s="10" t="n">
        <f aca="false">B23-D23</f>
        <v>8</v>
      </c>
      <c r="F23" s="11" t="n">
        <f aca="false">IF(B23=0,0,D23/B23)</f>
        <v>0</v>
      </c>
      <c r="G23" s="10" t="n">
        <f aca="false">C23-COUNTIFS(Questionnaire!$B$5:$B$204,$A23,Questionnaire!$G$5:$G$204,"P1*",Questionnaire!$L$5:$L$204,"Answered")-COUNTIFS(Questionnaire!$B$5:$B$204,$A23,Questionnaire!$G$5:$G$204,"P1*",Questionnaire!$L$5:$L$204,"Not applicable")</f>
        <v>2</v>
      </c>
    </row>
    <row r="24" customFormat="false" ht="15" hidden="false" customHeight="false" outlineLevel="0" collapsed="false">
      <c r="A24" s="12" t="s">
        <v>65</v>
      </c>
      <c r="B24" s="13" t="n">
        <f aca="false">SUM(B5:B23)</f>
        <v>200</v>
      </c>
      <c r="C24" s="13" t="n">
        <f aca="false">SUM(C5:C23)</f>
        <v>113</v>
      </c>
      <c r="D24" s="13" t="n">
        <f aca="false">SUM(D5:D23)</f>
        <v>0</v>
      </c>
      <c r="E24" s="13" t="n">
        <f aca="false">SUM(E5:E23)</f>
        <v>200</v>
      </c>
      <c r="F24" s="14" t="n">
        <f aca="false">IF(B24=0,0,D24/B24)</f>
        <v>0</v>
      </c>
      <c r="G24" s="13" t="n">
        <f aca="false">SUM(G5:G23)</f>
        <v>113</v>
      </c>
    </row>
    <row r="26" customFormat="false" ht="15" hidden="false" customHeight="false" outlineLevel="0" collapsed="false">
      <c r="A26" s="6" t="s">
        <v>66</v>
      </c>
    </row>
    <row r="27" customFormat="false" ht="30" hidden="false" customHeight="true" outlineLevel="0" collapsed="false">
      <c r="A27" s="8" t="s">
        <v>12</v>
      </c>
      <c r="B27" s="8" t="s">
        <v>40</v>
      </c>
      <c r="C27" s="8" t="s">
        <v>42</v>
      </c>
      <c r="D27" s="8" t="s">
        <v>43</v>
      </c>
    </row>
    <row r="28" customFormat="false" ht="15" hidden="false" customHeight="false" outlineLevel="0" collapsed="false">
      <c r="A28" s="9" t="s">
        <v>67</v>
      </c>
      <c r="B28" s="10" t="n">
        <f aca="false">COUNTIFS(Questionnaire!$G$5:$G$204,$A28)</f>
        <v>113</v>
      </c>
      <c r="C28" s="10" t="n">
        <f aca="false">COUNTIFS(Questionnaire!$G$5:$G$204,$A28,Questionnaire!$L$5:$L$204,"Answered")+COUNTIFS(Questionnaire!$G$5:$G$204,$A28,Questionnaire!$L$5:$L$204,"Not applicable")</f>
        <v>0</v>
      </c>
      <c r="D28" s="10" t="n">
        <f aca="false">B28-C28</f>
        <v>113</v>
      </c>
    </row>
    <row r="29" customFormat="false" ht="15" hidden="false" customHeight="false" outlineLevel="0" collapsed="false">
      <c r="A29" s="9" t="s">
        <v>68</v>
      </c>
      <c r="B29" s="10" t="n">
        <f aca="false">COUNTIFS(Questionnaire!$G$5:$G$204,$A29)</f>
        <v>78</v>
      </c>
      <c r="C29" s="10" t="n">
        <f aca="false">COUNTIFS(Questionnaire!$G$5:$G$204,$A29,Questionnaire!$L$5:$L$204,"Answered")+COUNTIFS(Questionnaire!$G$5:$G$204,$A29,Questionnaire!$L$5:$L$204,"Not applicable")</f>
        <v>0</v>
      </c>
      <c r="D29" s="10" t="n">
        <f aca="false">B29-C29</f>
        <v>78</v>
      </c>
    </row>
    <row r="30" customFormat="false" ht="15" hidden="false" customHeight="false" outlineLevel="0" collapsed="false">
      <c r="A30" s="9" t="s">
        <v>69</v>
      </c>
      <c r="B30" s="10" t="n">
        <f aca="false">COUNTIFS(Questionnaire!$G$5:$G$204,$A30)</f>
        <v>9</v>
      </c>
      <c r="C30" s="10" t="n">
        <f aca="false">COUNTIFS(Questionnaire!$G$5:$G$204,$A30,Questionnaire!$L$5:$L$204,"Answered")+COUNTIFS(Questionnaire!$G$5:$G$204,$A30,Questionnaire!$L$5:$L$204,"Not applicable")</f>
        <v>0</v>
      </c>
      <c r="D30" s="10" t="n">
        <f aca="false">B30-C30</f>
        <v>9</v>
      </c>
    </row>
    <row r="32" customFormat="false" ht="15" hidden="false" customHeight="false" outlineLevel="0" collapsed="false">
      <c r="A32" s="6" t="s">
        <v>70</v>
      </c>
    </row>
    <row r="33" customFormat="false" ht="30" hidden="false" customHeight="true" outlineLevel="0" collapsed="false">
      <c r="A33" s="8" t="s">
        <v>14</v>
      </c>
      <c r="B33" s="8" t="s">
        <v>40</v>
      </c>
      <c r="C33" s="8" t="s">
        <v>42</v>
      </c>
      <c r="D33" s="8" t="s">
        <v>43</v>
      </c>
    </row>
    <row r="34" customFormat="false" ht="15" hidden="false" customHeight="false" outlineLevel="0" collapsed="false">
      <c r="A34" s="9" t="s">
        <v>71</v>
      </c>
      <c r="B34" s="10" t="n">
        <f aca="false">COUNTIFS(Questionnaire!$J$5:$J$204,$A34)</f>
        <v>50</v>
      </c>
      <c r="C34" s="10" t="n">
        <f aca="false">COUNTIFS(Questionnaire!$J$5:$J$204,$A34,Questionnaire!$L$5:$L$204,"Answered")+COUNTIFS(Questionnaire!$J$5:$J$204,$A34,Questionnaire!$L$5:$L$204,"Not applicable")</f>
        <v>0</v>
      </c>
      <c r="D34" s="10" t="n">
        <f aca="false">B34-C34</f>
        <v>50</v>
      </c>
    </row>
    <row r="35" customFormat="false" ht="15" hidden="false" customHeight="false" outlineLevel="0" collapsed="false">
      <c r="A35" s="9" t="s">
        <v>72</v>
      </c>
      <c r="B35" s="10" t="n">
        <f aca="false">COUNTIFS(Questionnaire!$J$5:$J$204,$A35)</f>
        <v>82</v>
      </c>
      <c r="C35" s="10" t="n">
        <f aca="false">COUNTIFS(Questionnaire!$J$5:$J$204,$A35,Questionnaire!$L$5:$L$204,"Answered")+COUNTIFS(Questionnaire!$J$5:$J$204,$A35,Questionnaire!$L$5:$L$204,"Not applicable")</f>
        <v>0</v>
      </c>
      <c r="D35" s="10" t="n">
        <f aca="false">B35-C35</f>
        <v>82</v>
      </c>
    </row>
    <row r="36" customFormat="false" ht="15" hidden="false" customHeight="false" outlineLevel="0" collapsed="false">
      <c r="A36" s="9" t="s">
        <v>73</v>
      </c>
      <c r="B36" s="10" t="n">
        <f aca="false">COUNTIFS(Questionnaire!$J$5:$J$204,$A36)</f>
        <v>53</v>
      </c>
      <c r="C36" s="10" t="n">
        <f aca="false">COUNTIFS(Questionnaire!$J$5:$J$204,$A36,Questionnaire!$L$5:$L$204,"Answered")+COUNTIFS(Questionnaire!$J$5:$J$204,$A36,Questionnaire!$L$5:$L$204,"Not applicable")</f>
        <v>0</v>
      </c>
      <c r="D36" s="10" t="n">
        <f aca="false">B36-C36</f>
        <v>53</v>
      </c>
    </row>
    <row r="37" customFormat="false" ht="15" hidden="false" customHeight="false" outlineLevel="0" collapsed="false">
      <c r="A37" s="9" t="s">
        <v>74</v>
      </c>
      <c r="B37" s="10" t="n">
        <f aca="false">COUNTIFS(Questionnaire!$J$5:$J$204,$A37)</f>
        <v>15</v>
      </c>
      <c r="C37" s="10" t="n">
        <f aca="false">COUNTIFS(Questionnaire!$J$5:$J$204,$A37,Questionnaire!$L$5:$L$204,"Answered")+COUNTIFS(Questionnaire!$J$5:$J$204,$A37,Questionnaire!$L$5:$L$204,"Not applicable")</f>
        <v>0</v>
      </c>
      <c r="D37" s="10" t="n">
        <f aca="false">B37-C37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1"/>
    <pageSetUpPr fitToPage="tru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44"/>
    <col collapsed="false" customWidth="true" hidden="false" outlineLevel="0" max="7" min="7" style="0" width="16"/>
    <col collapsed="false" customWidth="true" hidden="false" outlineLevel="0" max="8" min="8" style="0" width="20"/>
    <col collapsed="false" customWidth="true" hidden="false" outlineLevel="0" max="9" min="9" style="0" width="24"/>
    <col collapsed="false" customWidth="true" hidden="false" outlineLevel="0" max="10" min="10" style="0" width="12"/>
    <col collapsed="false" customWidth="true" hidden="false" outlineLevel="0" max="11" min="11" style="0" width="32"/>
  </cols>
  <sheetData>
    <row r="1" customFormat="false" ht="19.7" hidden="false" customHeight="false" outlineLevel="0" collapsed="false">
      <c r="A1" s="1" t="s">
        <v>75</v>
      </c>
    </row>
    <row r="2" customFormat="false" ht="15" hidden="false" customHeight="false" outlineLevel="0" collapsed="false">
      <c r="A2" s="2" t="s">
        <v>76</v>
      </c>
    </row>
    <row r="4" customFormat="false" ht="33.75" hidden="false" customHeight="true" outlineLevel="0" collapsed="false">
      <c r="A4" s="8" t="s">
        <v>77</v>
      </c>
      <c r="B4" s="8" t="s">
        <v>78</v>
      </c>
      <c r="C4" s="8" t="s">
        <v>79</v>
      </c>
      <c r="D4" s="8" t="s">
        <v>80</v>
      </c>
      <c r="E4" s="8" t="s">
        <v>81</v>
      </c>
      <c r="F4" s="8" t="s">
        <v>82</v>
      </c>
      <c r="G4" s="8" t="s">
        <v>83</v>
      </c>
      <c r="H4" s="8" t="s">
        <v>84</v>
      </c>
      <c r="I4" s="8" t="s">
        <v>85</v>
      </c>
      <c r="J4" s="8" t="s">
        <v>86</v>
      </c>
      <c r="K4" s="8" t="s">
        <v>87</v>
      </c>
    </row>
    <row r="5" customFormat="false" ht="46.5" hidden="false" customHeight="true" outlineLevel="0" collapsed="false">
      <c r="A5" s="15" t="s">
        <v>88</v>
      </c>
      <c r="B5" s="16" t="s">
        <v>89</v>
      </c>
      <c r="C5" s="16" t="s">
        <v>90</v>
      </c>
      <c r="D5" s="16" t="s">
        <v>91</v>
      </c>
      <c r="E5" s="16" t="s">
        <v>92</v>
      </c>
      <c r="F5" s="16" t="s">
        <v>93</v>
      </c>
      <c r="G5" s="17"/>
      <c r="H5" s="17"/>
      <c r="I5" s="17"/>
      <c r="J5" s="17"/>
      <c r="K5" s="17"/>
    </row>
    <row r="6" customFormat="false" ht="36" hidden="false" customHeight="true" outlineLevel="0" collapsed="false">
      <c r="A6" s="15" t="s">
        <v>94</v>
      </c>
      <c r="B6" s="16" t="s">
        <v>95</v>
      </c>
      <c r="C6" s="16" t="s">
        <v>96</v>
      </c>
      <c r="D6" s="16" t="s">
        <v>91</v>
      </c>
      <c r="E6" s="16" t="s">
        <v>92</v>
      </c>
      <c r="F6" s="16" t="s">
        <v>97</v>
      </c>
      <c r="G6" s="17"/>
      <c r="H6" s="17"/>
      <c r="I6" s="17"/>
      <c r="J6" s="17"/>
      <c r="K6" s="17"/>
    </row>
    <row r="7" customFormat="false" ht="46.5" hidden="false" customHeight="true" outlineLevel="0" collapsed="false">
      <c r="A7" s="15" t="s">
        <v>98</v>
      </c>
      <c r="B7" s="16" t="s">
        <v>99</v>
      </c>
      <c r="C7" s="16" t="s">
        <v>100</v>
      </c>
      <c r="D7" s="16" t="s">
        <v>101</v>
      </c>
      <c r="E7" s="16" t="s">
        <v>102</v>
      </c>
      <c r="F7" s="16" t="s">
        <v>103</v>
      </c>
      <c r="G7" s="17"/>
      <c r="H7" s="17"/>
      <c r="I7" s="17"/>
      <c r="J7" s="17"/>
      <c r="K7" s="17"/>
    </row>
    <row r="8" customFormat="false" ht="36" hidden="false" customHeight="true" outlineLevel="0" collapsed="false">
      <c r="A8" s="15" t="s">
        <v>104</v>
      </c>
      <c r="B8" s="16" t="s">
        <v>105</v>
      </c>
      <c r="C8" s="16" t="s">
        <v>106</v>
      </c>
      <c r="D8" s="16" t="s">
        <v>107</v>
      </c>
      <c r="E8" s="16" t="s">
        <v>102</v>
      </c>
      <c r="F8" s="16" t="s">
        <v>108</v>
      </c>
      <c r="G8" s="17"/>
      <c r="H8" s="17"/>
      <c r="I8" s="17"/>
      <c r="J8" s="17"/>
      <c r="K8" s="17"/>
    </row>
    <row r="9" customFormat="false" ht="46.5" hidden="false" customHeight="true" outlineLevel="0" collapsed="false">
      <c r="A9" s="15" t="s">
        <v>109</v>
      </c>
      <c r="B9" s="16" t="s">
        <v>110</v>
      </c>
      <c r="C9" s="16" t="s">
        <v>111</v>
      </c>
      <c r="D9" s="16" t="s">
        <v>112</v>
      </c>
      <c r="E9" s="16" t="s">
        <v>113</v>
      </c>
      <c r="F9" s="16" t="s">
        <v>114</v>
      </c>
      <c r="G9" s="17"/>
      <c r="H9" s="17"/>
      <c r="I9" s="17"/>
      <c r="J9" s="17"/>
      <c r="K9" s="17"/>
    </row>
    <row r="10" customFormat="false" ht="46.5" hidden="false" customHeight="true" outlineLevel="0" collapsed="false">
      <c r="A10" s="15" t="s">
        <v>115</v>
      </c>
      <c r="B10" s="16" t="s">
        <v>116</v>
      </c>
      <c r="C10" s="16" t="s">
        <v>117</v>
      </c>
      <c r="D10" s="16" t="s">
        <v>118</v>
      </c>
      <c r="E10" s="16" t="s">
        <v>119</v>
      </c>
      <c r="F10" s="16" t="s">
        <v>120</v>
      </c>
      <c r="G10" s="17"/>
      <c r="H10" s="17"/>
      <c r="I10" s="17"/>
      <c r="J10" s="17"/>
      <c r="K10" s="17"/>
    </row>
    <row r="11" customFormat="false" ht="36" hidden="false" customHeight="true" outlineLevel="0" collapsed="false">
      <c r="A11" s="15" t="s">
        <v>53</v>
      </c>
      <c r="B11" s="16" t="s">
        <v>121</v>
      </c>
      <c r="C11" s="16" t="s">
        <v>122</v>
      </c>
      <c r="D11" s="16" t="s">
        <v>123</v>
      </c>
      <c r="E11" s="16" t="s">
        <v>102</v>
      </c>
      <c r="F11" s="16" t="s">
        <v>124</v>
      </c>
      <c r="G11" s="17"/>
      <c r="H11" s="17"/>
      <c r="I11" s="17"/>
      <c r="J11" s="17"/>
      <c r="K11" s="17"/>
    </row>
    <row r="12" customFormat="false" ht="36" hidden="false" customHeight="true" outlineLevel="0" collapsed="false">
      <c r="A12" s="15" t="s">
        <v>54</v>
      </c>
      <c r="B12" s="16" t="s">
        <v>125</v>
      </c>
      <c r="C12" s="16" t="s">
        <v>126</v>
      </c>
      <c r="D12" s="16" t="s">
        <v>127</v>
      </c>
      <c r="E12" s="16" t="s">
        <v>119</v>
      </c>
      <c r="F12" s="16" t="s">
        <v>128</v>
      </c>
      <c r="G12" s="17"/>
      <c r="H12" s="17"/>
      <c r="I12" s="17"/>
      <c r="J12" s="17"/>
      <c r="K12" s="17"/>
    </row>
    <row r="13" customFormat="false" ht="36" hidden="false" customHeight="true" outlineLevel="0" collapsed="false">
      <c r="A13" s="15" t="s">
        <v>129</v>
      </c>
      <c r="B13" s="16" t="s">
        <v>130</v>
      </c>
      <c r="C13" s="16" t="s">
        <v>131</v>
      </c>
      <c r="D13" s="16" t="s">
        <v>132</v>
      </c>
      <c r="E13" s="16" t="s">
        <v>113</v>
      </c>
      <c r="F13" s="16" t="s">
        <v>133</v>
      </c>
      <c r="G13" s="17"/>
      <c r="H13" s="17"/>
      <c r="I13" s="17"/>
      <c r="J13" s="17"/>
      <c r="K13" s="17"/>
    </row>
    <row r="14" customFormat="false" ht="36" hidden="false" customHeight="true" outlineLevel="0" collapsed="false">
      <c r="A14" s="15" t="s">
        <v>134</v>
      </c>
      <c r="B14" s="16" t="s">
        <v>135</v>
      </c>
      <c r="C14" s="16" t="s">
        <v>136</v>
      </c>
      <c r="D14" s="16" t="s">
        <v>137</v>
      </c>
      <c r="E14" s="16" t="s">
        <v>119</v>
      </c>
      <c r="F14" s="16" t="s">
        <v>138</v>
      </c>
      <c r="G14" s="17"/>
      <c r="H14" s="17"/>
      <c r="I14" s="17"/>
      <c r="J14" s="17"/>
      <c r="K14" s="17"/>
    </row>
    <row r="15" customFormat="false" ht="36" hidden="false" customHeight="true" outlineLevel="0" collapsed="false">
      <c r="A15" s="15" t="s">
        <v>139</v>
      </c>
      <c r="B15" s="16" t="s">
        <v>140</v>
      </c>
      <c r="C15" s="16" t="s">
        <v>141</v>
      </c>
      <c r="D15" s="16" t="s">
        <v>91</v>
      </c>
      <c r="E15" s="16" t="s">
        <v>92</v>
      </c>
      <c r="F15" s="16" t="s">
        <v>142</v>
      </c>
      <c r="G15" s="17"/>
      <c r="H15" s="17"/>
      <c r="I15" s="17"/>
      <c r="J15" s="17"/>
      <c r="K15" s="17"/>
    </row>
  </sheetData>
  <dataValidations count="1">
    <dataValidation allowBlank="true" errorStyle="stop" operator="between" showDropDown="false" showErrorMessage="false" showInputMessage="false" sqref="G5:G15" type="list">
      <formula1>"Wave 1 (go-live),Phase 2,Out of scope,To discuss"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2A541"/>
    <pageSetUpPr fitToPage="true"/>
  </sheetPr>
  <dimension ref="A1:N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15"/>
    <col collapsed="false" customWidth="true" hidden="false" outlineLevel="0" max="4" min="4" style="0" width="58"/>
    <col collapsed="false" customWidth="true" hidden="false" outlineLevel="0" max="5" min="5" style="0" width="38"/>
    <col collapsed="false" customWidth="true" hidden="false" outlineLevel="0" max="6" min="6" style="0" width="13"/>
    <col collapsed="false" customWidth="true" hidden="false" outlineLevel="0" max="7" min="7" style="0" width="17"/>
    <col collapsed="false" customWidth="true" hidden="false" outlineLevel="0" max="8" min="8" style="0" width="9"/>
    <col collapsed="false" customWidth="true" hidden="false" outlineLevel="0" max="9" min="9" style="0" width="22"/>
    <col collapsed="false" customWidth="true" hidden="false" outlineLevel="0" max="10" min="10" style="0" width="12"/>
    <col collapsed="false" customWidth="true" hidden="false" outlineLevel="0" max="11" min="11" style="0" width="46"/>
    <col collapsed="false" customWidth="true" hidden="false" outlineLevel="0" max="12" min="12" style="0" width="16"/>
    <col collapsed="false" customWidth="true" hidden="false" outlineLevel="0" max="13" min="13" style="0" width="18"/>
    <col collapsed="false" customWidth="true" hidden="false" outlineLevel="0" max="14" min="14" style="0" width="30"/>
  </cols>
  <sheetData>
    <row r="1" customFormat="false" ht="19.7" hidden="false" customHeight="false" outlineLevel="0" collapsed="false">
      <c r="A1" s="1" t="s">
        <v>143</v>
      </c>
    </row>
    <row r="2" customFormat="false" ht="15" hidden="false" customHeight="false" outlineLevel="0" collapsed="false">
      <c r="A2" s="2" t="s">
        <v>144</v>
      </c>
    </row>
    <row r="4" customFormat="false" ht="33.75" hidden="false" customHeight="true" outlineLevel="0" collapsed="false">
      <c r="A4" s="8" t="s">
        <v>25</v>
      </c>
      <c r="B4" s="8" t="s">
        <v>39</v>
      </c>
      <c r="C4" s="8" t="s">
        <v>145</v>
      </c>
      <c r="D4" s="8" t="s">
        <v>27</v>
      </c>
      <c r="E4" s="8" t="s">
        <v>146</v>
      </c>
      <c r="F4" s="8" t="s">
        <v>147</v>
      </c>
      <c r="G4" s="8" t="s">
        <v>12</v>
      </c>
      <c r="H4" s="8" t="s">
        <v>148</v>
      </c>
      <c r="I4" s="8" t="s">
        <v>149</v>
      </c>
      <c r="J4" s="8" t="s">
        <v>14</v>
      </c>
      <c r="K4" s="8" t="s">
        <v>150</v>
      </c>
      <c r="L4" s="8" t="s">
        <v>151</v>
      </c>
      <c r="M4" s="8" t="s">
        <v>152</v>
      </c>
      <c r="N4" s="8" t="s">
        <v>153</v>
      </c>
    </row>
    <row r="5" customFormat="false" ht="60" hidden="false" customHeight="true" outlineLevel="0" collapsed="false">
      <c r="A5" s="18" t="s">
        <v>154</v>
      </c>
      <c r="B5" s="16" t="s">
        <v>46</v>
      </c>
      <c r="C5" s="16" t="s">
        <v>155</v>
      </c>
      <c r="D5" s="16" t="s">
        <v>156</v>
      </c>
      <c r="E5" s="16" t="s">
        <v>157</v>
      </c>
      <c r="F5" s="16" t="s">
        <v>158</v>
      </c>
      <c r="G5" s="16" t="s">
        <v>67</v>
      </c>
      <c r="H5" s="19" t="s">
        <v>159</v>
      </c>
      <c r="I5" s="16" t="s">
        <v>160</v>
      </c>
      <c r="J5" s="16" t="s">
        <v>71</v>
      </c>
      <c r="K5" s="17"/>
      <c r="L5" s="17" t="s">
        <v>161</v>
      </c>
      <c r="M5" s="17"/>
      <c r="N5" s="17"/>
    </row>
    <row r="6" customFormat="false" ht="33" hidden="false" customHeight="true" outlineLevel="0" collapsed="false">
      <c r="A6" s="18" t="s">
        <v>162</v>
      </c>
      <c r="B6" s="16" t="s">
        <v>46</v>
      </c>
      <c r="C6" s="16" t="s">
        <v>155</v>
      </c>
      <c r="D6" s="16" t="s">
        <v>163</v>
      </c>
      <c r="E6" s="16" t="s">
        <v>164</v>
      </c>
      <c r="F6" s="16" t="s">
        <v>165</v>
      </c>
      <c r="G6" s="16" t="s">
        <v>67</v>
      </c>
      <c r="H6" s="19" t="s">
        <v>159</v>
      </c>
      <c r="I6" s="16" t="s">
        <v>160</v>
      </c>
      <c r="J6" s="16" t="s">
        <v>71</v>
      </c>
      <c r="K6" s="17"/>
      <c r="L6" s="17" t="s">
        <v>161</v>
      </c>
      <c r="M6" s="17"/>
      <c r="N6" s="17"/>
    </row>
    <row r="7" customFormat="false" ht="60" hidden="false" customHeight="true" outlineLevel="0" collapsed="false">
      <c r="A7" s="18" t="s">
        <v>166</v>
      </c>
      <c r="B7" s="16" t="s">
        <v>46</v>
      </c>
      <c r="C7" s="16" t="s">
        <v>155</v>
      </c>
      <c r="D7" s="16" t="s">
        <v>167</v>
      </c>
      <c r="E7" s="16" t="s">
        <v>168</v>
      </c>
      <c r="F7" s="16" t="s">
        <v>158</v>
      </c>
      <c r="G7" s="16" t="s">
        <v>67</v>
      </c>
      <c r="H7" s="19" t="s">
        <v>159</v>
      </c>
      <c r="I7" s="16" t="s">
        <v>169</v>
      </c>
      <c r="J7" s="16" t="s">
        <v>71</v>
      </c>
      <c r="K7" s="17"/>
      <c r="L7" s="17" t="s">
        <v>161</v>
      </c>
      <c r="M7" s="17"/>
      <c r="N7" s="17"/>
    </row>
    <row r="8" customFormat="false" ht="33" hidden="false" customHeight="true" outlineLevel="0" collapsed="false">
      <c r="A8" s="18" t="s">
        <v>170</v>
      </c>
      <c r="B8" s="16" t="s">
        <v>46</v>
      </c>
      <c r="C8" s="16" t="s">
        <v>155</v>
      </c>
      <c r="D8" s="16" t="s">
        <v>171</v>
      </c>
      <c r="E8" s="16" t="s">
        <v>172</v>
      </c>
      <c r="F8" s="16" t="s">
        <v>173</v>
      </c>
      <c r="G8" s="16" t="s">
        <v>67</v>
      </c>
      <c r="H8" s="19"/>
      <c r="I8" s="16" t="s">
        <v>169</v>
      </c>
      <c r="J8" s="16" t="s">
        <v>72</v>
      </c>
      <c r="K8" s="17"/>
      <c r="L8" s="17" t="s">
        <v>161</v>
      </c>
      <c r="M8" s="17"/>
      <c r="N8" s="17"/>
    </row>
    <row r="9" customFormat="false" ht="46.5" hidden="false" customHeight="true" outlineLevel="0" collapsed="false">
      <c r="A9" s="18" t="s">
        <v>174</v>
      </c>
      <c r="B9" s="16" t="s">
        <v>46</v>
      </c>
      <c r="C9" s="16" t="s">
        <v>155</v>
      </c>
      <c r="D9" s="16" t="s">
        <v>175</v>
      </c>
      <c r="E9" s="16" t="s">
        <v>176</v>
      </c>
      <c r="F9" s="16" t="s">
        <v>158</v>
      </c>
      <c r="G9" s="16" t="s">
        <v>67</v>
      </c>
      <c r="H9" s="19" t="s">
        <v>159</v>
      </c>
      <c r="I9" s="16" t="s">
        <v>169</v>
      </c>
      <c r="J9" s="16" t="s">
        <v>71</v>
      </c>
      <c r="K9" s="17"/>
      <c r="L9" s="17" t="s">
        <v>161</v>
      </c>
      <c r="M9" s="17"/>
      <c r="N9" s="17"/>
    </row>
    <row r="10" customFormat="false" ht="46.5" hidden="false" customHeight="true" outlineLevel="0" collapsed="false">
      <c r="A10" s="18" t="s">
        <v>177</v>
      </c>
      <c r="B10" s="16" t="s">
        <v>46</v>
      </c>
      <c r="C10" s="16" t="s">
        <v>155</v>
      </c>
      <c r="D10" s="16" t="s">
        <v>178</v>
      </c>
      <c r="E10" s="16" t="s">
        <v>179</v>
      </c>
      <c r="F10" s="16" t="s">
        <v>165</v>
      </c>
      <c r="G10" s="16" t="s">
        <v>67</v>
      </c>
      <c r="H10" s="19" t="s">
        <v>159</v>
      </c>
      <c r="I10" s="16" t="s">
        <v>160</v>
      </c>
      <c r="J10" s="16" t="s">
        <v>71</v>
      </c>
      <c r="K10" s="17"/>
      <c r="L10" s="17" t="s">
        <v>161</v>
      </c>
      <c r="M10" s="17"/>
      <c r="N10" s="17"/>
    </row>
    <row r="11" customFormat="false" ht="46.5" hidden="false" customHeight="true" outlineLevel="0" collapsed="false">
      <c r="A11" s="18" t="s">
        <v>180</v>
      </c>
      <c r="B11" s="16" t="s">
        <v>46</v>
      </c>
      <c r="C11" s="16" t="s">
        <v>155</v>
      </c>
      <c r="D11" s="16" t="s">
        <v>181</v>
      </c>
      <c r="E11" s="16" t="s">
        <v>182</v>
      </c>
      <c r="F11" s="16" t="s">
        <v>158</v>
      </c>
      <c r="G11" s="16" t="s">
        <v>67</v>
      </c>
      <c r="H11" s="19"/>
      <c r="I11" s="16" t="s">
        <v>183</v>
      </c>
      <c r="J11" s="16" t="s">
        <v>71</v>
      </c>
      <c r="K11" s="17"/>
      <c r="L11" s="17" t="s">
        <v>161</v>
      </c>
      <c r="M11" s="17"/>
      <c r="N11" s="17"/>
    </row>
    <row r="12" customFormat="false" ht="33" hidden="false" customHeight="true" outlineLevel="0" collapsed="false">
      <c r="A12" s="18" t="s">
        <v>184</v>
      </c>
      <c r="B12" s="16" t="s">
        <v>46</v>
      </c>
      <c r="C12" s="16" t="s">
        <v>155</v>
      </c>
      <c r="D12" s="16" t="s">
        <v>185</v>
      </c>
      <c r="E12" s="16" t="s">
        <v>186</v>
      </c>
      <c r="F12" s="16" t="s">
        <v>165</v>
      </c>
      <c r="G12" s="16" t="s">
        <v>68</v>
      </c>
      <c r="H12" s="19"/>
      <c r="I12" s="16" t="s">
        <v>169</v>
      </c>
      <c r="J12" s="16" t="s">
        <v>72</v>
      </c>
      <c r="K12" s="17"/>
      <c r="L12" s="17" t="s">
        <v>161</v>
      </c>
      <c r="M12" s="17"/>
      <c r="N12" s="17"/>
    </row>
    <row r="13" customFormat="false" ht="46.5" hidden="false" customHeight="true" outlineLevel="0" collapsed="false">
      <c r="A13" s="18" t="s">
        <v>187</v>
      </c>
      <c r="B13" s="16" t="s">
        <v>46</v>
      </c>
      <c r="C13" s="16" t="s">
        <v>155</v>
      </c>
      <c r="D13" s="16" t="s">
        <v>188</v>
      </c>
      <c r="E13" s="16" t="s">
        <v>189</v>
      </c>
      <c r="F13" s="16" t="s">
        <v>165</v>
      </c>
      <c r="G13" s="16" t="s">
        <v>68</v>
      </c>
      <c r="H13" s="19"/>
      <c r="I13" s="16" t="s">
        <v>169</v>
      </c>
      <c r="J13" s="16" t="s">
        <v>72</v>
      </c>
      <c r="K13" s="17"/>
      <c r="L13" s="17" t="s">
        <v>161</v>
      </c>
      <c r="M13" s="17"/>
      <c r="N13" s="17"/>
    </row>
    <row r="14" customFormat="false" ht="46.5" hidden="false" customHeight="true" outlineLevel="0" collapsed="false">
      <c r="A14" s="18" t="s">
        <v>190</v>
      </c>
      <c r="B14" s="16" t="s">
        <v>46</v>
      </c>
      <c r="C14" s="16" t="s">
        <v>155</v>
      </c>
      <c r="D14" s="16" t="s">
        <v>191</v>
      </c>
      <c r="E14" s="16" t="s">
        <v>192</v>
      </c>
      <c r="F14" s="16" t="s">
        <v>165</v>
      </c>
      <c r="G14" s="16" t="s">
        <v>68</v>
      </c>
      <c r="H14" s="19"/>
      <c r="I14" s="16" t="s">
        <v>169</v>
      </c>
      <c r="J14" s="16" t="s">
        <v>72</v>
      </c>
      <c r="K14" s="17"/>
      <c r="L14" s="17" t="s">
        <v>161</v>
      </c>
      <c r="M14" s="17"/>
      <c r="N14" s="17"/>
    </row>
    <row r="15" customFormat="false" ht="46.5" hidden="false" customHeight="true" outlineLevel="0" collapsed="false">
      <c r="A15" s="18" t="s">
        <v>193</v>
      </c>
      <c r="B15" s="16" t="s">
        <v>46</v>
      </c>
      <c r="C15" s="16" t="s">
        <v>155</v>
      </c>
      <c r="D15" s="16" t="s">
        <v>194</v>
      </c>
      <c r="E15" s="16" t="s">
        <v>195</v>
      </c>
      <c r="F15" s="16" t="s">
        <v>158</v>
      </c>
      <c r="G15" s="16" t="s">
        <v>67</v>
      </c>
      <c r="H15" s="19" t="s">
        <v>159</v>
      </c>
      <c r="I15" s="16" t="s">
        <v>196</v>
      </c>
      <c r="J15" s="16" t="s">
        <v>71</v>
      </c>
      <c r="K15" s="17"/>
      <c r="L15" s="17" t="s">
        <v>161</v>
      </c>
      <c r="M15" s="17"/>
      <c r="N15" s="17"/>
    </row>
    <row r="16" customFormat="false" ht="33" hidden="false" customHeight="true" outlineLevel="0" collapsed="false">
      <c r="A16" s="18" t="s">
        <v>197</v>
      </c>
      <c r="B16" s="16" t="s">
        <v>47</v>
      </c>
      <c r="C16" s="16" t="s">
        <v>155</v>
      </c>
      <c r="D16" s="16" t="s">
        <v>198</v>
      </c>
      <c r="E16" s="16" t="s">
        <v>199</v>
      </c>
      <c r="F16" s="16" t="s">
        <v>158</v>
      </c>
      <c r="G16" s="16" t="s">
        <v>67</v>
      </c>
      <c r="H16" s="19" t="s">
        <v>159</v>
      </c>
      <c r="I16" s="16" t="s">
        <v>160</v>
      </c>
      <c r="J16" s="16" t="s">
        <v>71</v>
      </c>
      <c r="K16" s="17"/>
      <c r="L16" s="17" t="s">
        <v>161</v>
      </c>
      <c r="M16" s="17"/>
      <c r="N16" s="17"/>
    </row>
    <row r="17" customFormat="false" ht="33" hidden="false" customHeight="true" outlineLevel="0" collapsed="false">
      <c r="A17" s="18" t="s">
        <v>200</v>
      </c>
      <c r="B17" s="16" t="s">
        <v>47</v>
      </c>
      <c r="C17" s="16" t="s">
        <v>155</v>
      </c>
      <c r="D17" s="16" t="s">
        <v>201</v>
      </c>
      <c r="E17" s="16" t="s">
        <v>202</v>
      </c>
      <c r="F17" s="16" t="s">
        <v>158</v>
      </c>
      <c r="G17" s="16" t="s">
        <v>67</v>
      </c>
      <c r="H17" s="19"/>
      <c r="I17" s="16" t="s">
        <v>169</v>
      </c>
      <c r="J17" s="16" t="s">
        <v>71</v>
      </c>
      <c r="K17" s="17"/>
      <c r="L17" s="17" t="s">
        <v>161</v>
      </c>
      <c r="M17" s="17"/>
      <c r="N17" s="17"/>
    </row>
    <row r="18" customFormat="false" ht="33" hidden="false" customHeight="true" outlineLevel="0" collapsed="false">
      <c r="A18" s="18" t="s">
        <v>203</v>
      </c>
      <c r="B18" s="16" t="s">
        <v>47</v>
      </c>
      <c r="C18" s="16" t="s">
        <v>155</v>
      </c>
      <c r="D18" s="16" t="s">
        <v>204</v>
      </c>
      <c r="E18" s="16" t="s">
        <v>205</v>
      </c>
      <c r="F18" s="16" t="s">
        <v>165</v>
      </c>
      <c r="G18" s="16" t="s">
        <v>67</v>
      </c>
      <c r="H18" s="19" t="s">
        <v>159</v>
      </c>
      <c r="I18" s="16" t="s">
        <v>160</v>
      </c>
      <c r="J18" s="16" t="s">
        <v>71</v>
      </c>
      <c r="K18" s="17"/>
      <c r="L18" s="17" t="s">
        <v>161</v>
      </c>
      <c r="M18" s="17"/>
      <c r="N18" s="17"/>
    </row>
    <row r="19" customFormat="false" ht="46.5" hidden="false" customHeight="true" outlineLevel="0" collapsed="false">
      <c r="A19" s="18" t="s">
        <v>206</v>
      </c>
      <c r="B19" s="16" t="s">
        <v>47</v>
      </c>
      <c r="C19" s="16" t="s">
        <v>207</v>
      </c>
      <c r="D19" s="16" t="s">
        <v>208</v>
      </c>
      <c r="E19" s="16" t="s">
        <v>209</v>
      </c>
      <c r="F19" s="16" t="s">
        <v>165</v>
      </c>
      <c r="G19" s="16" t="s">
        <v>67</v>
      </c>
      <c r="H19" s="19" t="s">
        <v>159</v>
      </c>
      <c r="I19" s="16" t="s">
        <v>210</v>
      </c>
      <c r="J19" s="16" t="s">
        <v>72</v>
      </c>
      <c r="K19" s="17"/>
      <c r="L19" s="17" t="s">
        <v>161</v>
      </c>
      <c r="M19" s="17"/>
      <c r="N19" s="17"/>
    </row>
    <row r="20" customFormat="false" ht="46.5" hidden="false" customHeight="true" outlineLevel="0" collapsed="false">
      <c r="A20" s="18" t="s">
        <v>211</v>
      </c>
      <c r="B20" s="16" t="s">
        <v>47</v>
      </c>
      <c r="C20" s="16" t="s">
        <v>155</v>
      </c>
      <c r="D20" s="16" t="s">
        <v>212</v>
      </c>
      <c r="E20" s="16" t="s">
        <v>213</v>
      </c>
      <c r="F20" s="16" t="s">
        <v>214</v>
      </c>
      <c r="G20" s="16" t="s">
        <v>68</v>
      </c>
      <c r="H20" s="19"/>
      <c r="I20" s="16" t="s">
        <v>169</v>
      </c>
      <c r="J20" s="16" t="s">
        <v>72</v>
      </c>
      <c r="K20" s="17"/>
      <c r="L20" s="17" t="s">
        <v>161</v>
      </c>
      <c r="M20" s="17"/>
      <c r="N20" s="17"/>
    </row>
    <row r="21" customFormat="false" ht="46.5" hidden="false" customHeight="true" outlineLevel="0" collapsed="false">
      <c r="A21" s="18" t="s">
        <v>215</v>
      </c>
      <c r="B21" s="16" t="s">
        <v>47</v>
      </c>
      <c r="C21" s="16" t="s">
        <v>155</v>
      </c>
      <c r="D21" s="16" t="s">
        <v>216</v>
      </c>
      <c r="E21" s="16" t="s">
        <v>217</v>
      </c>
      <c r="F21" s="16" t="s">
        <v>158</v>
      </c>
      <c r="G21" s="16" t="s">
        <v>67</v>
      </c>
      <c r="H21" s="19"/>
      <c r="I21" s="16" t="s">
        <v>169</v>
      </c>
      <c r="J21" s="16" t="s">
        <v>72</v>
      </c>
      <c r="K21" s="17"/>
      <c r="L21" s="17" t="s">
        <v>161</v>
      </c>
      <c r="M21" s="17"/>
      <c r="N21" s="17"/>
    </row>
    <row r="22" customFormat="false" ht="46.5" hidden="false" customHeight="true" outlineLevel="0" collapsed="false">
      <c r="A22" s="18" t="s">
        <v>218</v>
      </c>
      <c r="B22" s="16" t="s">
        <v>47</v>
      </c>
      <c r="C22" s="16" t="s">
        <v>155</v>
      </c>
      <c r="D22" s="16" t="s">
        <v>219</v>
      </c>
      <c r="E22" s="16" t="s">
        <v>220</v>
      </c>
      <c r="F22" s="16" t="s">
        <v>158</v>
      </c>
      <c r="G22" s="16" t="s">
        <v>67</v>
      </c>
      <c r="H22" s="19" t="s">
        <v>159</v>
      </c>
      <c r="I22" s="16" t="s">
        <v>169</v>
      </c>
      <c r="J22" s="16" t="s">
        <v>72</v>
      </c>
      <c r="K22" s="17"/>
      <c r="L22" s="17" t="s">
        <v>161</v>
      </c>
      <c r="M22" s="17"/>
      <c r="N22" s="17"/>
    </row>
    <row r="23" customFormat="false" ht="33" hidden="false" customHeight="true" outlineLevel="0" collapsed="false">
      <c r="A23" s="18" t="s">
        <v>221</v>
      </c>
      <c r="B23" s="16" t="s">
        <v>47</v>
      </c>
      <c r="C23" s="16" t="s">
        <v>155</v>
      </c>
      <c r="D23" s="16" t="s">
        <v>222</v>
      </c>
      <c r="E23" s="16" t="s">
        <v>223</v>
      </c>
      <c r="F23" s="16" t="s">
        <v>165</v>
      </c>
      <c r="G23" s="16" t="s">
        <v>68</v>
      </c>
      <c r="H23" s="19"/>
      <c r="I23" s="16" t="s">
        <v>169</v>
      </c>
      <c r="J23" s="16" t="s">
        <v>73</v>
      </c>
      <c r="K23" s="17"/>
      <c r="L23" s="17" t="s">
        <v>161</v>
      </c>
      <c r="M23" s="17"/>
      <c r="N23" s="17"/>
    </row>
    <row r="24" customFormat="false" ht="46.5" hidden="false" customHeight="true" outlineLevel="0" collapsed="false">
      <c r="A24" s="18" t="s">
        <v>224</v>
      </c>
      <c r="B24" s="16" t="s">
        <v>47</v>
      </c>
      <c r="C24" s="16" t="s">
        <v>225</v>
      </c>
      <c r="D24" s="16" t="s">
        <v>226</v>
      </c>
      <c r="E24" s="16" t="s">
        <v>227</v>
      </c>
      <c r="F24" s="16" t="s">
        <v>165</v>
      </c>
      <c r="G24" s="16" t="s">
        <v>68</v>
      </c>
      <c r="H24" s="19"/>
      <c r="I24" s="16" t="s">
        <v>228</v>
      </c>
      <c r="J24" s="16" t="s">
        <v>72</v>
      </c>
      <c r="K24" s="17"/>
      <c r="L24" s="17" t="s">
        <v>161</v>
      </c>
      <c r="M24" s="17"/>
      <c r="N24" s="17"/>
    </row>
    <row r="25" customFormat="false" ht="60" hidden="false" customHeight="true" outlineLevel="0" collapsed="false">
      <c r="A25" s="18" t="s">
        <v>229</v>
      </c>
      <c r="B25" s="16" t="s">
        <v>48</v>
      </c>
      <c r="C25" s="16" t="s">
        <v>155</v>
      </c>
      <c r="D25" s="16" t="s">
        <v>230</v>
      </c>
      <c r="E25" s="16" t="s">
        <v>231</v>
      </c>
      <c r="F25" s="16" t="s">
        <v>173</v>
      </c>
      <c r="G25" s="16" t="s">
        <v>67</v>
      </c>
      <c r="H25" s="19" t="s">
        <v>159</v>
      </c>
      <c r="I25" s="16" t="s">
        <v>232</v>
      </c>
      <c r="J25" s="16" t="s">
        <v>71</v>
      </c>
      <c r="K25" s="17"/>
      <c r="L25" s="17" t="s">
        <v>161</v>
      </c>
      <c r="M25" s="17"/>
      <c r="N25" s="17"/>
    </row>
    <row r="26" customFormat="false" ht="46.5" hidden="false" customHeight="true" outlineLevel="0" collapsed="false">
      <c r="A26" s="18" t="s">
        <v>233</v>
      </c>
      <c r="B26" s="16" t="s">
        <v>48</v>
      </c>
      <c r="C26" s="16" t="s">
        <v>155</v>
      </c>
      <c r="D26" s="16" t="s">
        <v>234</v>
      </c>
      <c r="E26" s="16" t="s">
        <v>235</v>
      </c>
      <c r="F26" s="16" t="s">
        <v>236</v>
      </c>
      <c r="G26" s="16" t="s">
        <v>67</v>
      </c>
      <c r="H26" s="19"/>
      <c r="I26" s="16" t="s">
        <v>232</v>
      </c>
      <c r="J26" s="16" t="s">
        <v>71</v>
      </c>
      <c r="K26" s="17"/>
      <c r="L26" s="17" t="s">
        <v>161</v>
      </c>
      <c r="M26" s="17"/>
      <c r="N26" s="17"/>
    </row>
    <row r="27" customFormat="false" ht="33" hidden="false" customHeight="true" outlineLevel="0" collapsed="false">
      <c r="A27" s="18" t="s">
        <v>237</v>
      </c>
      <c r="B27" s="16" t="s">
        <v>48</v>
      </c>
      <c r="C27" s="16" t="s">
        <v>155</v>
      </c>
      <c r="D27" s="16" t="s">
        <v>238</v>
      </c>
      <c r="E27" s="16" t="s">
        <v>239</v>
      </c>
      <c r="F27" s="16" t="s">
        <v>240</v>
      </c>
      <c r="G27" s="16" t="s">
        <v>67</v>
      </c>
      <c r="H27" s="19" t="s">
        <v>159</v>
      </c>
      <c r="I27" s="16" t="s">
        <v>196</v>
      </c>
      <c r="J27" s="16" t="s">
        <v>71</v>
      </c>
      <c r="K27" s="17"/>
      <c r="L27" s="17" t="s">
        <v>161</v>
      </c>
      <c r="M27" s="17"/>
      <c r="N27" s="17"/>
    </row>
    <row r="28" customFormat="false" ht="46.5" hidden="false" customHeight="true" outlineLevel="0" collapsed="false">
      <c r="A28" s="18" t="s">
        <v>241</v>
      </c>
      <c r="B28" s="16" t="s">
        <v>48</v>
      </c>
      <c r="C28" s="16" t="s">
        <v>242</v>
      </c>
      <c r="D28" s="16" t="s">
        <v>243</v>
      </c>
      <c r="E28" s="16" t="s">
        <v>244</v>
      </c>
      <c r="F28" s="16" t="s">
        <v>240</v>
      </c>
      <c r="G28" s="16" t="s">
        <v>68</v>
      </c>
      <c r="H28" s="19" t="s">
        <v>159</v>
      </c>
      <c r="I28" s="16" t="s">
        <v>196</v>
      </c>
      <c r="J28" s="16" t="s">
        <v>72</v>
      </c>
      <c r="K28" s="17"/>
      <c r="L28" s="17" t="s">
        <v>161</v>
      </c>
      <c r="M28" s="17"/>
      <c r="N28" s="17"/>
    </row>
    <row r="29" customFormat="false" ht="46.5" hidden="false" customHeight="true" outlineLevel="0" collapsed="false">
      <c r="A29" s="18" t="s">
        <v>245</v>
      </c>
      <c r="B29" s="16" t="s">
        <v>48</v>
      </c>
      <c r="C29" s="16" t="s">
        <v>155</v>
      </c>
      <c r="D29" s="16" t="s">
        <v>246</v>
      </c>
      <c r="E29" s="16" t="s">
        <v>247</v>
      </c>
      <c r="F29" s="16" t="s">
        <v>165</v>
      </c>
      <c r="G29" s="16" t="s">
        <v>68</v>
      </c>
      <c r="H29" s="19"/>
      <c r="I29" s="16" t="s">
        <v>232</v>
      </c>
      <c r="J29" s="16" t="s">
        <v>72</v>
      </c>
      <c r="K29" s="17"/>
      <c r="L29" s="17" t="s">
        <v>161</v>
      </c>
      <c r="M29" s="17"/>
      <c r="N29" s="17"/>
    </row>
    <row r="30" customFormat="false" ht="46.5" hidden="false" customHeight="true" outlineLevel="0" collapsed="false">
      <c r="A30" s="18" t="s">
        <v>248</v>
      </c>
      <c r="B30" s="16" t="s">
        <v>48</v>
      </c>
      <c r="C30" s="16" t="s">
        <v>155</v>
      </c>
      <c r="D30" s="16" t="s">
        <v>249</v>
      </c>
      <c r="E30" s="16" t="s">
        <v>250</v>
      </c>
      <c r="F30" s="16" t="s">
        <v>165</v>
      </c>
      <c r="G30" s="16" t="s">
        <v>67</v>
      </c>
      <c r="H30" s="19" t="s">
        <v>159</v>
      </c>
      <c r="I30" s="16" t="s">
        <v>183</v>
      </c>
      <c r="J30" s="16" t="s">
        <v>71</v>
      </c>
      <c r="K30" s="17"/>
      <c r="L30" s="17" t="s">
        <v>161</v>
      </c>
      <c r="M30" s="17"/>
      <c r="N30" s="17"/>
    </row>
    <row r="31" customFormat="false" ht="46.5" hidden="false" customHeight="true" outlineLevel="0" collapsed="false">
      <c r="A31" s="18" t="s">
        <v>251</v>
      </c>
      <c r="B31" s="16" t="s">
        <v>48</v>
      </c>
      <c r="C31" s="16" t="s">
        <v>155</v>
      </c>
      <c r="D31" s="16" t="s">
        <v>252</v>
      </c>
      <c r="E31" s="16" t="s">
        <v>253</v>
      </c>
      <c r="F31" s="16" t="s">
        <v>165</v>
      </c>
      <c r="G31" s="16" t="s">
        <v>67</v>
      </c>
      <c r="H31" s="19" t="s">
        <v>159</v>
      </c>
      <c r="I31" s="16" t="s">
        <v>254</v>
      </c>
      <c r="J31" s="16" t="s">
        <v>71</v>
      </c>
      <c r="K31" s="17"/>
      <c r="L31" s="17" t="s">
        <v>161</v>
      </c>
      <c r="M31" s="17"/>
      <c r="N31" s="17"/>
    </row>
    <row r="32" customFormat="false" ht="46.5" hidden="false" customHeight="true" outlineLevel="0" collapsed="false">
      <c r="A32" s="18" t="s">
        <v>255</v>
      </c>
      <c r="B32" s="16" t="s">
        <v>48</v>
      </c>
      <c r="C32" s="16" t="s">
        <v>256</v>
      </c>
      <c r="D32" s="16" t="s">
        <v>257</v>
      </c>
      <c r="E32" s="16" t="s">
        <v>258</v>
      </c>
      <c r="F32" s="16" t="s">
        <v>158</v>
      </c>
      <c r="G32" s="16" t="s">
        <v>68</v>
      </c>
      <c r="H32" s="19"/>
      <c r="I32" s="16" t="s">
        <v>232</v>
      </c>
      <c r="J32" s="16" t="s">
        <v>72</v>
      </c>
      <c r="K32" s="17"/>
      <c r="L32" s="17" t="s">
        <v>161</v>
      </c>
      <c r="M32" s="17"/>
      <c r="N32" s="17"/>
    </row>
    <row r="33" customFormat="false" ht="46.5" hidden="false" customHeight="true" outlineLevel="0" collapsed="false">
      <c r="A33" s="18" t="s">
        <v>259</v>
      </c>
      <c r="B33" s="16" t="s">
        <v>49</v>
      </c>
      <c r="C33" s="16" t="s">
        <v>260</v>
      </c>
      <c r="D33" s="16" t="s">
        <v>261</v>
      </c>
      <c r="E33" s="16" t="s">
        <v>262</v>
      </c>
      <c r="F33" s="16" t="s">
        <v>165</v>
      </c>
      <c r="G33" s="16" t="s">
        <v>67</v>
      </c>
      <c r="H33" s="19" t="s">
        <v>159</v>
      </c>
      <c r="I33" s="16" t="s">
        <v>169</v>
      </c>
      <c r="J33" s="16" t="s">
        <v>72</v>
      </c>
      <c r="K33" s="17"/>
      <c r="L33" s="17" t="s">
        <v>161</v>
      </c>
      <c r="M33" s="17"/>
      <c r="N33" s="17"/>
    </row>
    <row r="34" customFormat="false" ht="33" hidden="false" customHeight="true" outlineLevel="0" collapsed="false">
      <c r="A34" s="18" t="s">
        <v>263</v>
      </c>
      <c r="B34" s="16" t="s">
        <v>49</v>
      </c>
      <c r="C34" s="16" t="s">
        <v>260</v>
      </c>
      <c r="D34" s="16" t="s">
        <v>264</v>
      </c>
      <c r="E34" s="16" t="s">
        <v>265</v>
      </c>
      <c r="F34" s="16" t="s">
        <v>173</v>
      </c>
      <c r="G34" s="16" t="s">
        <v>67</v>
      </c>
      <c r="H34" s="19"/>
      <c r="I34" s="16" t="s">
        <v>169</v>
      </c>
      <c r="J34" s="16" t="s">
        <v>72</v>
      </c>
      <c r="K34" s="17"/>
      <c r="L34" s="17" t="s">
        <v>161</v>
      </c>
      <c r="M34" s="17"/>
      <c r="N34" s="17"/>
    </row>
    <row r="35" customFormat="false" ht="33" hidden="false" customHeight="true" outlineLevel="0" collapsed="false">
      <c r="A35" s="18" t="s">
        <v>266</v>
      </c>
      <c r="B35" s="16" t="s">
        <v>49</v>
      </c>
      <c r="C35" s="16" t="s">
        <v>260</v>
      </c>
      <c r="D35" s="16" t="s">
        <v>267</v>
      </c>
      <c r="E35" s="16" t="s">
        <v>268</v>
      </c>
      <c r="F35" s="16" t="s">
        <v>165</v>
      </c>
      <c r="G35" s="16" t="s">
        <v>68</v>
      </c>
      <c r="H35" s="19"/>
      <c r="I35" s="16" t="s">
        <v>169</v>
      </c>
      <c r="J35" s="16" t="s">
        <v>72</v>
      </c>
      <c r="K35" s="17"/>
      <c r="L35" s="17" t="s">
        <v>161</v>
      </c>
      <c r="M35" s="17"/>
      <c r="N35" s="17"/>
    </row>
    <row r="36" customFormat="false" ht="46.5" hidden="false" customHeight="true" outlineLevel="0" collapsed="false">
      <c r="A36" s="18" t="s">
        <v>269</v>
      </c>
      <c r="B36" s="16" t="s">
        <v>49</v>
      </c>
      <c r="C36" s="16" t="s">
        <v>260</v>
      </c>
      <c r="D36" s="16" t="s">
        <v>270</v>
      </c>
      <c r="E36" s="16" t="s">
        <v>271</v>
      </c>
      <c r="F36" s="16" t="s">
        <v>158</v>
      </c>
      <c r="G36" s="16" t="s">
        <v>67</v>
      </c>
      <c r="H36" s="19" t="s">
        <v>159</v>
      </c>
      <c r="I36" s="16" t="s">
        <v>272</v>
      </c>
      <c r="J36" s="16" t="s">
        <v>72</v>
      </c>
      <c r="K36" s="17"/>
      <c r="L36" s="17" t="s">
        <v>161</v>
      </c>
      <c r="M36" s="17"/>
      <c r="N36" s="17"/>
    </row>
    <row r="37" customFormat="false" ht="46.5" hidden="false" customHeight="true" outlineLevel="0" collapsed="false">
      <c r="A37" s="18" t="s">
        <v>273</v>
      </c>
      <c r="B37" s="16" t="s">
        <v>49</v>
      </c>
      <c r="C37" s="16" t="s">
        <v>260</v>
      </c>
      <c r="D37" s="16" t="s">
        <v>274</v>
      </c>
      <c r="E37" s="16" t="s">
        <v>275</v>
      </c>
      <c r="F37" s="16" t="s">
        <v>173</v>
      </c>
      <c r="G37" s="16" t="s">
        <v>67</v>
      </c>
      <c r="H37" s="19" t="s">
        <v>159</v>
      </c>
      <c r="I37" s="16" t="s">
        <v>276</v>
      </c>
      <c r="J37" s="16" t="s">
        <v>72</v>
      </c>
      <c r="K37" s="17"/>
      <c r="L37" s="17" t="s">
        <v>161</v>
      </c>
      <c r="M37" s="17"/>
      <c r="N37" s="17"/>
    </row>
    <row r="38" customFormat="false" ht="33" hidden="false" customHeight="true" outlineLevel="0" collapsed="false">
      <c r="A38" s="18" t="s">
        <v>277</v>
      </c>
      <c r="B38" s="16" t="s">
        <v>49</v>
      </c>
      <c r="C38" s="16" t="s">
        <v>260</v>
      </c>
      <c r="D38" s="16" t="s">
        <v>278</v>
      </c>
      <c r="E38" s="16" t="s">
        <v>279</v>
      </c>
      <c r="F38" s="16" t="s">
        <v>165</v>
      </c>
      <c r="G38" s="16" t="s">
        <v>68</v>
      </c>
      <c r="H38" s="19"/>
      <c r="I38" s="16" t="s">
        <v>272</v>
      </c>
      <c r="J38" s="16" t="s">
        <v>73</v>
      </c>
      <c r="K38" s="17"/>
      <c r="L38" s="17" t="s">
        <v>161</v>
      </c>
      <c r="M38" s="17"/>
      <c r="N38" s="17"/>
    </row>
    <row r="39" customFormat="false" ht="33" hidden="false" customHeight="true" outlineLevel="0" collapsed="false">
      <c r="A39" s="18" t="s">
        <v>280</v>
      </c>
      <c r="B39" s="16" t="s">
        <v>49</v>
      </c>
      <c r="C39" s="16" t="s">
        <v>260</v>
      </c>
      <c r="D39" s="16" t="s">
        <v>281</v>
      </c>
      <c r="E39" s="16" t="s">
        <v>282</v>
      </c>
      <c r="F39" s="16" t="s">
        <v>158</v>
      </c>
      <c r="G39" s="16" t="s">
        <v>67</v>
      </c>
      <c r="H39" s="19"/>
      <c r="I39" s="16" t="s">
        <v>169</v>
      </c>
      <c r="J39" s="16" t="s">
        <v>73</v>
      </c>
      <c r="K39" s="17"/>
      <c r="L39" s="17" t="s">
        <v>161</v>
      </c>
      <c r="M39" s="17"/>
      <c r="N39" s="17"/>
    </row>
    <row r="40" customFormat="false" ht="46.5" hidden="false" customHeight="true" outlineLevel="0" collapsed="false">
      <c r="A40" s="18" t="s">
        <v>283</v>
      </c>
      <c r="B40" s="16" t="s">
        <v>49</v>
      </c>
      <c r="C40" s="16" t="s">
        <v>260</v>
      </c>
      <c r="D40" s="16" t="s">
        <v>284</v>
      </c>
      <c r="E40" s="16" t="s">
        <v>285</v>
      </c>
      <c r="F40" s="16" t="s">
        <v>165</v>
      </c>
      <c r="G40" s="16" t="s">
        <v>67</v>
      </c>
      <c r="H40" s="19" t="s">
        <v>159</v>
      </c>
      <c r="I40" s="16" t="s">
        <v>276</v>
      </c>
      <c r="J40" s="16" t="s">
        <v>73</v>
      </c>
      <c r="K40" s="17"/>
      <c r="L40" s="17" t="s">
        <v>161</v>
      </c>
      <c r="M40" s="17"/>
      <c r="N40" s="17"/>
    </row>
    <row r="41" customFormat="false" ht="46.5" hidden="false" customHeight="true" outlineLevel="0" collapsed="false">
      <c r="A41" s="18" t="s">
        <v>286</v>
      </c>
      <c r="B41" s="16" t="s">
        <v>49</v>
      </c>
      <c r="C41" s="16" t="s">
        <v>287</v>
      </c>
      <c r="D41" s="16" t="s">
        <v>288</v>
      </c>
      <c r="E41" s="16" t="s">
        <v>289</v>
      </c>
      <c r="F41" s="16" t="s">
        <v>165</v>
      </c>
      <c r="G41" s="16" t="s">
        <v>67</v>
      </c>
      <c r="H41" s="19" t="s">
        <v>159</v>
      </c>
      <c r="I41" s="16" t="s">
        <v>169</v>
      </c>
      <c r="J41" s="16" t="s">
        <v>73</v>
      </c>
      <c r="K41" s="17"/>
      <c r="L41" s="17" t="s">
        <v>161</v>
      </c>
      <c r="M41" s="17"/>
      <c r="N41" s="17"/>
    </row>
    <row r="42" customFormat="false" ht="46.5" hidden="false" customHeight="true" outlineLevel="0" collapsed="false">
      <c r="A42" s="18" t="s">
        <v>290</v>
      </c>
      <c r="B42" s="16" t="s">
        <v>49</v>
      </c>
      <c r="C42" s="16" t="s">
        <v>260</v>
      </c>
      <c r="D42" s="16" t="s">
        <v>291</v>
      </c>
      <c r="E42" s="16" t="s">
        <v>292</v>
      </c>
      <c r="F42" s="16" t="s">
        <v>165</v>
      </c>
      <c r="G42" s="16" t="s">
        <v>68</v>
      </c>
      <c r="H42" s="19"/>
      <c r="I42" s="16" t="s">
        <v>293</v>
      </c>
      <c r="J42" s="16" t="s">
        <v>73</v>
      </c>
      <c r="K42" s="17"/>
      <c r="L42" s="17" t="s">
        <v>161</v>
      </c>
      <c r="M42" s="17"/>
      <c r="N42" s="17"/>
    </row>
    <row r="43" customFormat="false" ht="46.5" hidden="false" customHeight="true" outlineLevel="0" collapsed="false">
      <c r="A43" s="18" t="s">
        <v>294</v>
      </c>
      <c r="B43" s="16" t="s">
        <v>49</v>
      </c>
      <c r="C43" s="16" t="s">
        <v>260</v>
      </c>
      <c r="D43" s="16" t="s">
        <v>295</v>
      </c>
      <c r="E43" s="16" t="s">
        <v>296</v>
      </c>
      <c r="F43" s="16" t="s">
        <v>165</v>
      </c>
      <c r="G43" s="16" t="s">
        <v>68</v>
      </c>
      <c r="H43" s="19" t="s">
        <v>159</v>
      </c>
      <c r="I43" s="16" t="s">
        <v>272</v>
      </c>
      <c r="J43" s="16" t="s">
        <v>74</v>
      </c>
      <c r="K43" s="17"/>
      <c r="L43" s="17" t="s">
        <v>161</v>
      </c>
      <c r="M43" s="17"/>
      <c r="N43" s="17"/>
    </row>
    <row r="44" customFormat="false" ht="33" hidden="false" customHeight="true" outlineLevel="0" collapsed="false">
      <c r="A44" s="18" t="s">
        <v>297</v>
      </c>
      <c r="B44" s="16" t="s">
        <v>50</v>
      </c>
      <c r="C44" s="16" t="s">
        <v>298</v>
      </c>
      <c r="D44" s="16" t="s">
        <v>299</v>
      </c>
      <c r="E44" s="16" t="s">
        <v>300</v>
      </c>
      <c r="F44" s="16" t="s">
        <v>158</v>
      </c>
      <c r="G44" s="16" t="s">
        <v>67</v>
      </c>
      <c r="H44" s="19" t="s">
        <v>159</v>
      </c>
      <c r="I44" s="16" t="s">
        <v>169</v>
      </c>
      <c r="J44" s="16" t="s">
        <v>72</v>
      </c>
      <c r="K44" s="17"/>
      <c r="L44" s="17" t="s">
        <v>161</v>
      </c>
      <c r="M44" s="17"/>
      <c r="N44" s="17"/>
    </row>
    <row r="45" customFormat="false" ht="46.5" hidden="false" customHeight="true" outlineLevel="0" collapsed="false">
      <c r="A45" s="18" t="s">
        <v>301</v>
      </c>
      <c r="B45" s="16" t="s">
        <v>50</v>
      </c>
      <c r="C45" s="16" t="s">
        <v>298</v>
      </c>
      <c r="D45" s="16" t="s">
        <v>302</v>
      </c>
      <c r="E45" s="16" t="s">
        <v>303</v>
      </c>
      <c r="F45" s="16" t="s">
        <v>165</v>
      </c>
      <c r="G45" s="16" t="s">
        <v>67</v>
      </c>
      <c r="H45" s="19" t="s">
        <v>159</v>
      </c>
      <c r="I45" s="16" t="s">
        <v>169</v>
      </c>
      <c r="J45" s="16" t="s">
        <v>72</v>
      </c>
      <c r="K45" s="17"/>
      <c r="L45" s="17" t="s">
        <v>161</v>
      </c>
      <c r="M45" s="17"/>
      <c r="N45" s="17"/>
    </row>
    <row r="46" customFormat="false" ht="33" hidden="false" customHeight="true" outlineLevel="0" collapsed="false">
      <c r="A46" s="18" t="s">
        <v>304</v>
      </c>
      <c r="B46" s="16" t="s">
        <v>50</v>
      </c>
      <c r="C46" s="16" t="s">
        <v>298</v>
      </c>
      <c r="D46" s="16" t="s">
        <v>305</v>
      </c>
      <c r="E46" s="16" t="s">
        <v>306</v>
      </c>
      <c r="F46" s="16" t="s">
        <v>165</v>
      </c>
      <c r="G46" s="16" t="s">
        <v>68</v>
      </c>
      <c r="H46" s="19"/>
      <c r="I46" s="16" t="s">
        <v>272</v>
      </c>
      <c r="J46" s="16" t="s">
        <v>73</v>
      </c>
      <c r="K46" s="17"/>
      <c r="L46" s="17" t="s">
        <v>161</v>
      </c>
      <c r="M46" s="17"/>
      <c r="N46" s="17"/>
    </row>
    <row r="47" customFormat="false" ht="33" hidden="false" customHeight="true" outlineLevel="0" collapsed="false">
      <c r="A47" s="18" t="s">
        <v>307</v>
      </c>
      <c r="B47" s="16" t="s">
        <v>50</v>
      </c>
      <c r="C47" s="16" t="s">
        <v>298</v>
      </c>
      <c r="D47" s="16" t="s">
        <v>308</v>
      </c>
      <c r="E47" s="16" t="s">
        <v>309</v>
      </c>
      <c r="F47" s="16" t="s">
        <v>165</v>
      </c>
      <c r="G47" s="16" t="s">
        <v>68</v>
      </c>
      <c r="H47" s="19"/>
      <c r="I47" s="16" t="s">
        <v>169</v>
      </c>
      <c r="J47" s="16" t="s">
        <v>73</v>
      </c>
      <c r="K47" s="17"/>
      <c r="L47" s="17" t="s">
        <v>161</v>
      </c>
      <c r="M47" s="17"/>
      <c r="N47" s="17"/>
    </row>
    <row r="48" customFormat="false" ht="33" hidden="false" customHeight="true" outlineLevel="0" collapsed="false">
      <c r="A48" s="18" t="s">
        <v>310</v>
      </c>
      <c r="B48" s="16" t="s">
        <v>50</v>
      </c>
      <c r="C48" s="16" t="s">
        <v>298</v>
      </c>
      <c r="D48" s="16" t="s">
        <v>311</v>
      </c>
      <c r="E48" s="16" t="s">
        <v>312</v>
      </c>
      <c r="F48" s="16" t="s">
        <v>214</v>
      </c>
      <c r="G48" s="16" t="s">
        <v>67</v>
      </c>
      <c r="H48" s="19" t="s">
        <v>159</v>
      </c>
      <c r="I48" s="16" t="s">
        <v>293</v>
      </c>
      <c r="J48" s="16" t="s">
        <v>72</v>
      </c>
      <c r="K48" s="17"/>
      <c r="L48" s="17" t="s">
        <v>161</v>
      </c>
      <c r="M48" s="17"/>
      <c r="N48" s="17"/>
    </row>
    <row r="49" customFormat="false" ht="46.5" hidden="false" customHeight="true" outlineLevel="0" collapsed="false">
      <c r="A49" s="18" t="s">
        <v>313</v>
      </c>
      <c r="B49" s="16" t="s">
        <v>50</v>
      </c>
      <c r="C49" s="16" t="s">
        <v>314</v>
      </c>
      <c r="D49" s="16" t="s">
        <v>315</v>
      </c>
      <c r="E49" s="16" t="s">
        <v>316</v>
      </c>
      <c r="F49" s="16" t="s">
        <v>165</v>
      </c>
      <c r="G49" s="16" t="s">
        <v>68</v>
      </c>
      <c r="H49" s="19"/>
      <c r="I49" s="16" t="s">
        <v>169</v>
      </c>
      <c r="J49" s="16" t="s">
        <v>73</v>
      </c>
      <c r="K49" s="17"/>
      <c r="L49" s="17" t="s">
        <v>161</v>
      </c>
      <c r="M49" s="17"/>
      <c r="N49" s="17"/>
    </row>
    <row r="50" customFormat="false" ht="46.5" hidden="false" customHeight="true" outlineLevel="0" collapsed="false">
      <c r="A50" s="18" t="s">
        <v>317</v>
      </c>
      <c r="B50" s="16" t="s">
        <v>50</v>
      </c>
      <c r="C50" s="16" t="s">
        <v>298</v>
      </c>
      <c r="D50" s="16" t="s">
        <v>318</v>
      </c>
      <c r="E50" s="16" t="s">
        <v>319</v>
      </c>
      <c r="F50" s="16" t="s">
        <v>165</v>
      </c>
      <c r="G50" s="16" t="s">
        <v>68</v>
      </c>
      <c r="H50" s="19" t="s">
        <v>159</v>
      </c>
      <c r="I50" s="16" t="s">
        <v>169</v>
      </c>
      <c r="J50" s="16" t="s">
        <v>74</v>
      </c>
      <c r="K50" s="17"/>
      <c r="L50" s="17" t="s">
        <v>161</v>
      </c>
      <c r="M50" s="17"/>
      <c r="N50" s="17"/>
    </row>
    <row r="51" customFormat="false" ht="33" hidden="false" customHeight="true" outlineLevel="0" collapsed="false">
      <c r="A51" s="18" t="s">
        <v>320</v>
      </c>
      <c r="B51" s="16" t="s">
        <v>50</v>
      </c>
      <c r="C51" s="16" t="s">
        <v>298</v>
      </c>
      <c r="D51" s="16" t="s">
        <v>321</v>
      </c>
      <c r="E51" s="16" t="s">
        <v>322</v>
      </c>
      <c r="F51" s="16" t="s">
        <v>165</v>
      </c>
      <c r="G51" s="16" t="s">
        <v>68</v>
      </c>
      <c r="H51" s="19"/>
      <c r="I51" s="16" t="s">
        <v>169</v>
      </c>
      <c r="J51" s="16" t="s">
        <v>73</v>
      </c>
      <c r="K51" s="17"/>
      <c r="L51" s="17" t="s">
        <v>161</v>
      </c>
      <c r="M51" s="17"/>
      <c r="N51" s="17"/>
    </row>
    <row r="52" customFormat="false" ht="60" hidden="false" customHeight="true" outlineLevel="0" collapsed="false">
      <c r="A52" s="18" t="s">
        <v>323</v>
      </c>
      <c r="B52" s="16" t="s">
        <v>51</v>
      </c>
      <c r="C52" s="16" t="s">
        <v>207</v>
      </c>
      <c r="D52" s="16" t="s">
        <v>324</v>
      </c>
      <c r="E52" s="16" t="s">
        <v>325</v>
      </c>
      <c r="F52" s="16" t="s">
        <v>214</v>
      </c>
      <c r="G52" s="16" t="s">
        <v>67</v>
      </c>
      <c r="H52" s="19" t="s">
        <v>159</v>
      </c>
      <c r="I52" s="16" t="s">
        <v>169</v>
      </c>
      <c r="J52" s="16" t="s">
        <v>71</v>
      </c>
      <c r="K52" s="17"/>
      <c r="L52" s="17" t="s">
        <v>161</v>
      </c>
      <c r="M52" s="17"/>
      <c r="N52" s="17"/>
    </row>
    <row r="53" customFormat="false" ht="46.5" hidden="false" customHeight="true" outlineLevel="0" collapsed="false">
      <c r="A53" s="18" t="s">
        <v>326</v>
      </c>
      <c r="B53" s="16" t="s">
        <v>51</v>
      </c>
      <c r="C53" s="16" t="s">
        <v>327</v>
      </c>
      <c r="D53" s="16" t="s">
        <v>328</v>
      </c>
      <c r="E53" s="16" t="s">
        <v>329</v>
      </c>
      <c r="F53" s="16" t="s">
        <v>158</v>
      </c>
      <c r="G53" s="16" t="s">
        <v>67</v>
      </c>
      <c r="H53" s="19" t="s">
        <v>159</v>
      </c>
      <c r="I53" s="16" t="s">
        <v>210</v>
      </c>
      <c r="J53" s="16" t="s">
        <v>71</v>
      </c>
      <c r="K53" s="17"/>
      <c r="L53" s="17" t="s">
        <v>161</v>
      </c>
      <c r="M53" s="17"/>
      <c r="N53" s="17"/>
    </row>
    <row r="54" customFormat="false" ht="46.5" hidden="false" customHeight="true" outlineLevel="0" collapsed="false">
      <c r="A54" s="18" t="s">
        <v>330</v>
      </c>
      <c r="B54" s="16" t="s">
        <v>51</v>
      </c>
      <c r="C54" s="16" t="s">
        <v>331</v>
      </c>
      <c r="D54" s="16" t="s">
        <v>332</v>
      </c>
      <c r="E54" s="16" t="s">
        <v>333</v>
      </c>
      <c r="F54" s="16" t="s">
        <v>173</v>
      </c>
      <c r="G54" s="16" t="s">
        <v>67</v>
      </c>
      <c r="H54" s="19"/>
      <c r="I54" s="16" t="s">
        <v>210</v>
      </c>
      <c r="J54" s="16" t="s">
        <v>71</v>
      </c>
      <c r="K54" s="17"/>
      <c r="L54" s="17" t="s">
        <v>161</v>
      </c>
      <c r="M54" s="17"/>
      <c r="N54" s="17"/>
    </row>
    <row r="55" customFormat="false" ht="46.5" hidden="false" customHeight="true" outlineLevel="0" collapsed="false">
      <c r="A55" s="18" t="s">
        <v>334</v>
      </c>
      <c r="B55" s="16" t="s">
        <v>51</v>
      </c>
      <c r="C55" s="16" t="s">
        <v>331</v>
      </c>
      <c r="D55" s="16" t="s">
        <v>335</v>
      </c>
      <c r="E55" s="16" t="s">
        <v>336</v>
      </c>
      <c r="F55" s="16" t="s">
        <v>236</v>
      </c>
      <c r="G55" s="16" t="s">
        <v>67</v>
      </c>
      <c r="H55" s="19" t="s">
        <v>159</v>
      </c>
      <c r="I55" s="16" t="s">
        <v>337</v>
      </c>
      <c r="J55" s="16" t="s">
        <v>72</v>
      </c>
      <c r="K55" s="17"/>
      <c r="L55" s="17" t="s">
        <v>161</v>
      </c>
      <c r="M55" s="17"/>
      <c r="N55" s="17"/>
    </row>
    <row r="56" customFormat="false" ht="46.5" hidden="false" customHeight="true" outlineLevel="0" collapsed="false">
      <c r="A56" s="18" t="s">
        <v>26</v>
      </c>
      <c r="B56" s="16" t="s">
        <v>51</v>
      </c>
      <c r="C56" s="16" t="s">
        <v>338</v>
      </c>
      <c r="D56" s="16" t="s">
        <v>339</v>
      </c>
      <c r="E56" s="16" t="s">
        <v>340</v>
      </c>
      <c r="F56" s="16" t="s">
        <v>165</v>
      </c>
      <c r="G56" s="16" t="s">
        <v>67</v>
      </c>
      <c r="H56" s="19" t="s">
        <v>159</v>
      </c>
      <c r="I56" s="16" t="s">
        <v>169</v>
      </c>
      <c r="J56" s="16" t="s">
        <v>72</v>
      </c>
      <c r="K56" s="17"/>
      <c r="L56" s="17" t="s">
        <v>161</v>
      </c>
      <c r="M56" s="17"/>
      <c r="N56" s="17"/>
    </row>
    <row r="57" customFormat="false" ht="46.5" hidden="false" customHeight="true" outlineLevel="0" collapsed="false">
      <c r="A57" s="18" t="s">
        <v>341</v>
      </c>
      <c r="B57" s="16" t="s">
        <v>51</v>
      </c>
      <c r="C57" s="16" t="s">
        <v>338</v>
      </c>
      <c r="D57" s="16" t="s">
        <v>342</v>
      </c>
      <c r="E57" s="16" t="s">
        <v>343</v>
      </c>
      <c r="F57" s="16" t="s">
        <v>165</v>
      </c>
      <c r="G57" s="16" t="s">
        <v>67</v>
      </c>
      <c r="H57" s="19"/>
      <c r="I57" s="16" t="s">
        <v>276</v>
      </c>
      <c r="J57" s="16" t="s">
        <v>72</v>
      </c>
      <c r="K57" s="17"/>
      <c r="L57" s="17" t="s">
        <v>161</v>
      </c>
      <c r="M57" s="17"/>
      <c r="N57" s="17"/>
    </row>
    <row r="58" customFormat="false" ht="33" hidden="false" customHeight="true" outlineLevel="0" collapsed="false">
      <c r="A58" s="18" t="s">
        <v>344</v>
      </c>
      <c r="B58" s="16" t="s">
        <v>51</v>
      </c>
      <c r="C58" s="16" t="s">
        <v>338</v>
      </c>
      <c r="D58" s="16" t="s">
        <v>345</v>
      </c>
      <c r="E58" s="16" t="s">
        <v>346</v>
      </c>
      <c r="F58" s="16" t="s">
        <v>165</v>
      </c>
      <c r="G58" s="16" t="s">
        <v>68</v>
      </c>
      <c r="H58" s="19"/>
      <c r="I58" s="16" t="s">
        <v>169</v>
      </c>
      <c r="J58" s="16" t="s">
        <v>73</v>
      </c>
      <c r="K58" s="17"/>
      <c r="L58" s="17" t="s">
        <v>161</v>
      </c>
      <c r="M58" s="17"/>
      <c r="N58" s="17"/>
    </row>
    <row r="59" customFormat="false" ht="60" hidden="false" customHeight="true" outlineLevel="0" collapsed="false">
      <c r="A59" s="18" t="s">
        <v>347</v>
      </c>
      <c r="B59" s="16" t="s">
        <v>51</v>
      </c>
      <c r="C59" s="16" t="s">
        <v>348</v>
      </c>
      <c r="D59" s="16" t="s">
        <v>349</v>
      </c>
      <c r="E59" s="16" t="s">
        <v>350</v>
      </c>
      <c r="F59" s="16" t="s">
        <v>165</v>
      </c>
      <c r="G59" s="16" t="s">
        <v>68</v>
      </c>
      <c r="H59" s="19"/>
      <c r="I59" s="16" t="s">
        <v>337</v>
      </c>
      <c r="J59" s="16" t="s">
        <v>73</v>
      </c>
      <c r="K59" s="17"/>
      <c r="L59" s="17" t="s">
        <v>161</v>
      </c>
      <c r="M59" s="17"/>
      <c r="N59" s="17"/>
    </row>
    <row r="60" customFormat="false" ht="33" hidden="false" customHeight="true" outlineLevel="0" collapsed="false">
      <c r="A60" s="18" t="s">
        <v>351</v>
      </c>
      <c r="B60" s="16" t="s">
        <v>51</v>
      </c>
      <c r="C60" s="16" t="s">
        <v>352</v>
      </c>
      <c r="D60" s="16" t="s">
        <v>353</v>
      </c>
      <c r="E60" s="16" t="s">
        <v>354</v>
      </c>
      <c r="F60" s="16" t="s">
        <v>214</v>
      </c>
      <c r="G60" s="16" t="s">
        <v>69</v>
      </c>
      <c r="H60" s="19"/>
      <c r="I60" s="16" t="s">
        <v>169</v>
      </c>
      <c r="J60" s="16" t="s">
        <v>74</v>
      </c>
      <c r="K60" s="17"/>
      <c r="L60" s="17" t="s">
        <v>161</v>
      </c>
      <c r="M60" s="17"/>
      <c r="N60" s="17"/>
    </row>
    <row r="61" customFormat="false" ht="46.5" hidden="false" customHeight="true" outlineLevel="0" collapsed="false">
      <c r="A61" s="18" t="s">
        <v>355</v>
      </c>
      <c r="B61" s="16" t="s">
        <v>51</v>
      </c>
      <c r="C61" s="16" t="s">
        <v>327</v>
      </c>
      <c r="D61" s="16" t="s">
        <v>356</v>
      </c>
      <c r="E61" s="16" t="s">
        <v>357</v>
      </c>
      <c r="F61" s="16" t="s">
        <v>165</v>
      </c>
      <c r="G61" s="16" t="s">
        <v>67</v>
      </c>
      <c r="H61" s="19" t="s">
        <v>159</v>
      </c>
      <c r="I61" s="16" t="s">
        <v>276</v>
      </c>
      <c r="J61" s="16" t="s">
        <v>72</v>
      </c>
      <c r="K61" s="17"/>
      <c r="L61" s="17" t="s">
        <v>161</v>
      </c>
      <c r="M61" s="17"/>
      <c r="N61" s="17"/>
    </row>
    <row r="62" customFormat="false" ht="33" hidden="false" customHeight="true" outlineLevel="0" collapsed="false">
      <c r="A62" s="18" t="s">
        <v>358</v>
      </c>
      <c r="B62" s="16" t="s">
        <v>51</v>
      </c>
      <c r="C62" s="16" t="s">
        <v>359</v>
      </c>
      <c r="D62" s="16" t="s">
        <v>360</v>
      </c>
      <c r="E62" s="16" t="s">
        <v>361</v>
      </c>
      <c r="F62" s="16" t="s">
        <v>165</v>
      </c>
      <c r="G62" s="16" t="s">
        <v>68</v>
      </c>
      <c r="H62" s="19"/>
      <c r="I62" s="16" t="s">
        <v>169</v>
      </c>
      <c r="J62" s="16" t="s">
        <v>73</v>
      </c>
      <c r="K62" s="17"/>
      <c r="L62" s="17" t="s">
        <v>161</v>
      </c>
      <c r="M62" s="17"/>
      <c r="N62" s="17"/>
    </row>
    <row r="63" customFormat="false" ht="46.5" hidden="false" customHeight="true" outlineLevel="0" collapsed="false">
      <c r="A63" s="18" t="s">
        <v>362</v>
      </c>
      <c r="B63" s="16" t="s">
        <v>51</v>
      </c>
      <c r="C63" s="16" t="s">
        <v>327</v>
      </c>
      <c r="D63" s="16" t="s">
        <v>363</v>
      </c>
      <c r="E63" s="16" t="s">
        <v>364</v>
      </c>
      <c r="F63" s="16" t="s">
        <v>165</v>
      </c>
      <c r="G63" s="16" t="s">
        <v>67</v>
      </c>
      <c r="H63" s="19"/>
      <c r="I63" s="16" t="s">
        <v>210</v>
      </c>
      <c r="J63" s="16" t="s">
        <v>71</v>
      </c>
      <c r="K63" s="17"/>
      <c r="L63" s="17" t="s">
        <v>161</v>
      </c>
      <c r="M63" s="17"/>
      <c r="N63" s="17"/>
    </row>
    <row r="64" customFormat="false" ht="31.5" hidden="false" customHeight="true" outlineLevel="0" collapsed="false">
      <c r="A64" s="18" t="s">
        <v>365</v>
      </c>
      <c r="B64" s="16" t="s">
        <v>51</v>
      </c>
      <c r="C64" s="16" t="s">
        <v>327</v>
      </c>
      <c r="D64" s="16" t="s">
        <v>366</v>
      </c>
      <c r="E64" s="16" t="s">
        <v>367</v>
      </c>
      <c r="F64" s="16" t="s">
        <v>236</v>
      </c>
      <c r="G64" s="16" t="s">
        <v>68</v>
      </c>
      <c r="H64" s="19"/>
      <c r="I64" s="16" t="s">
        <v>169</v>
      </c>
      <c r="J64" s="16" t="s">
        <v>73</v>
      </c>
      <c r="K64" s="17"/>
      <c r="L64" s="17" t="s">
        <v>161</v>
      </c>
      <c r="M64" s="17"/>
      <c r="N64" s="17"/>
    </row>
    <row r="65" customFormat="false" ht="33" hidden="false" customHeight="true" outlineLevel="0" collapsed="false">
      <c r="A65" s="18" t="s">
        <v>368</v>
      </c>
      <c r="B65" s="16" t="s">
        <v>51</v>
      </c>
      <c r="C65" s="16" t="s">
        <v>327</v>
      </c>
      <c r="D65" s="16" t="s">
        <v>369</v>
      </c>
      <c r="E65" s="16" t="s">
        <v>370</v>
      </c>
      <c r="F65" s="16" t="s">
        <v>165</v>
      </c>
      <c r="G65" s="16" t="s">
        <v>68</v>
      </c>
      <c r="H65" s="19"/>
      <c r="I65" s="16" t="s">
        <v>276</v>
      </c>
      <c r="J65" s="16" t="s">
        <v>72</v>
      </c>
      <c r="K65" s="17"/>
      <c r="L65" s="17" t="s">
        <v>161</v>
      </c>
      <c r="M65" s="17"/>
      <c r="N65" s="17"/>
    </row>
    <row r="66" customFormat="false" ht="46.5" hidden="false" customHeight="true" outlineLevel="0" collapsed="false">
      <c r="A66" s="18" t="s">
        <v>371</v>
      </c>
      <c r="B66" s="16" t="s">
        <v>52</v>
      </c>
      <c r="C66" s="16" t="s">
        <v>372</v>
      </c>
      <c r="D66" s="16" t="s">
        <v>373</v>
      </c>
      <c r="E66" s="16" t="s">
        <v>374</v>
      </c>
      <c r="F66" s="16" t="s">
        <v>173</v>
      </c>
      <c r="G66" s="16" t="s">
        <v>67</v>
      </c>
      <c r="H66" s="19" t="s">
        <v>159</v>
      </c>
      <c r="I66" s="16" t="s">
        <v>228</v>
      </c>
      <c r="J66" s="16" t="s">
        <v>71</v>
      </c>
      <c r="K66" s="17"/>
      <c r="L66" s="17" t="s">
        <v>161</v>
      </c>
      <c r="M66" s="17"/>
      <c r="N66" s="17"/>
    </row>
    <row r="67" customFormat="false" ht="46.5" hidden="false" customHeight="true" outlineLevel="0" collapsed="false">
      <c r="A67" s="18" t="s">
        <v>375</v>
      </c>
      <c r="B67" s="16" t="s">
        <v>52</v>
      </c>
      <c r="C67" s="16" t="s">
        <v>372</v>
      </c>
      <c r="D67" s="16" t="s">
        <v>376</v>
      </c>
      <c r="E67" s="16" t="s">
        <v>377</v>
      </c>
      <c r="F67" s="16" t="s">
        <v>173</v>
      </c>
      <c r="G67" s="16" t="s">
        <v>67</v>
      </c>
      <c r="H67" s="19" t="s">
        <v>159</v>
      </c>
      <c r="I67" s="16" t="s">
        <v>210</v>
      </c>
      <c r="J67" s="16" t="s">
        <v>71</v>
      </c>
      <c r="K67" s="17"/>
      <c r="L67" s="17" t="s">
        <v>161</v>
      </c>
      <c r="M67" s="17"/>
      <c r="N67" s="17"/>
    </row>
    <row r="68" customFormat="false" ht="33" hidden="false" customHeight="true" outlineLevel="0" collapsed="false">
      <c r="A68" s="18" t="s">
        <v>378</v>
      </c>
      <c r="B68" s="16" t="s">
        <v>52</v>
      </c>
      <c r="C68" s="16" t="s">
        <v>372</v>
      </c>
      <c r="D68" s="16" t="s">
        <v>379</v>
      </c>
      <c r="E68" s="16" t="s">
        <v>380</v>
      </c>
      <c r="F68" s="16" t="s">
        <v>158</v>
      </c>
      <c r="G68" s="16" t="s">
        <v>67</v>
      </c>
      <c r="H68" s="19"/>
      <c r="I68" s="16" t="s">
        <v>228</v>
      </c>
      <c r="J68" s="16" t="s">
        <v>72</v>
      </c>
      <c r="K68" s="17"/>
      <c r="L68" s="17" t="s">
        <v>161</v>
      </c>
      <c r="M68" s="17"/>
      <c r="N68" s="17"/>
    </row>
    <row r="69" customFormat="false" ht="46.5" hidden="false" customHeight="true" outlineLevel="0" collapsed="false">
      <c r="A69" s="18" t="s">
        <v>381</v>
      </c>
      <c r="B69" s="16" t="s">
        <v>52</v>
      </c>
      <c r="C69" s="16" t="s">
        <v>372</v>
      </c>
      <c r="D69" s="16" t="s">
        <v>382</v>
      </c>
      <c r="E69" s="16" t="s">
        <v>383</v>
      </c>
      <c r="F69" s="16" t="s">
        <v>173</v>
      </c>
      <c r="G69" s="16" t="s">
        <v>67</v>
      </c>
      <c r="H69" s="19" t="s">
        <v>159</v>
      </c>
      <c r="I69" s="16" t="s">
        <v>228</v>
      </c>
      <c r="J69" s="16" t="s">
        <v>72</v>
      </c>
      <c r="K69" s="17"/>
      <c r="L69" s="17" t="s">
        <v>161</v>
      </c>
      <c r="M69" s="17"/>
      <c r="N69" s="17"/>
    </row>
    <row r="70" customFormat="false" ht="46.5" hidden="false" customHeight="true" outlineLevel="0" collapsed="false">
      <c r="A70" s="18" t="s">
        <v>384</v>
      </c>
      <c r="B70" s="16" t="s">
        <v>52</v>
      </c>
      <c r="C70" s="16" t="s">
        <v>372</v>
      </c>
      <c r="D70" s="16" t="s">
        <v>385</v>
      </c>
      <c r="E70" s="16" t="s">
        <v>386</v>
      </c>
      <c r="F70" s="16" t="s">
        <v>158</v>
      </c>
      <c r="G70" s="16" t="s">
        <v>67</v>
      </c>
      <c r="H70" s="19"/>
      <c r="I70" s="16" t="s">
        <v>228</v>
      </c>
      <c r="J70" s="16" t="s">
        <v>72</v>
      </c>
      <c r="K70" s="17"/>
      <c r="L70" s="17" t="s">
        <v>161</v>
      </c>
      <c r="M70" s="17"/>
      <c r="N70" s="17"/>
    </row>
    <row r="71" customFormat="false" ht="33" hidden="false" customHeight="true" outlineLevel="0" collapsed="false">
      <c r="A71" s="18" t="s">
        <v>387</v>
      </c>
      <c r="B71" s="16" t="s">
        <v>52</v>
      </c>
      <c r="C71" s="16" t="s">
        <v>372</v>
      </c>
      <c r="D71" s="16" t="s">
        <v>388</v>
      </c>
      <c r="E71" s="16" t="s">
        <v>389</v>
      </c>
      <c r="F71" s="16" t="s">
        <v>165</v>
      </c>
      <c r="G71" s="16" t="s">
        <v>68</v>
      </c>
      <c r="H71" s="19"/>
      <c r="I71" s="16" t="s">
        <v>228</v>
      </c>
      <c r="J71" s="16" t="s">
        <v>73</v>
      </c>
      <c r="K71" s="17"/>
      <c r="L71" s="17" t="s">
        <v>161</v>
      </c>
      <c r="M71" s="17"/>
      <c r="N71" s="17"/>
    </row>
    <row r="72" customFormat="false" ht="46.5" hidden="false" customHeight="true" outlineLevel="0" collapsed="false">
      <c r="A72" s="18" t="s">
        <v>390</v>
      </c>
      <c r="B72" s="16" t="s">
        <v>52</v>
      </c>
      <c r="C72" s="16" t="s">
        <v>372</v>
      </c>
      <c r="D72" s="16" t="s">
        <v>391</v>
      </c>
      <c r="E72" s="16" t="s">
        <v>392</v>
      </c>
      <c r="F72" s="16" t="s">
        <v>158</v>
      </c>
      <c r="G72" s="16" t="s">
        <v>67</v>
      </c>
      <c r="H72" s="19" t="s">
        <v>159</v>
      </c>
      <c r="I72" s="16" t="s">
        <v>228</v>
      </c>
      <c r="J72" s="16" t="s">
        <v>72</v>
      </c>
      <c r="K72" s="17"/>
      <c r="L72" s="17" t="s">
        <v>161</v>
      </c>
      <c r="M72" s="17"/>
      <c r="N72" s="17"/>
    </row>
    <row r="73" customFormat="false" ht="33" hidden="false" customHeight="true" outlineLevel="0" collapsed="false">
      <c r="A73" s="18" t="s">
        <v>393</v>
      </c>
      <c r="B73" s="16" t="s">
        <v>52</v>
      </c>
      <c r="C73" s="16" t="s">
        <v>372</v>
      </c>
      <c r="D73" s="16" t="s">
        <v>394</v>
      </c>
      <c r="E73" s="16" t="s">
        <v>395</v>
      </c>
      <c r="F73" s="16" t="s">
        <v>165</v>
      </c>
      <c r="G73" s="16" t="s">
        <v>67</v>
      </c>
      <c r="H73" s="19"/>
      <c r="I73" s="16" t="s">
        <v>210</v>
      </c>
      <c r="J73" s="16" t="s">
        <v>72</v>
      </c>
      <c r="K73" s="17"/>
      <c r="L73" s="17" t="s">
        <v>161</v>
      </c>
      <c r="M73" s="17"/>
      <c r="N73" s="17"/>
    </row>
    <row r="74" customFormat="false" ht="46.5" hidden="false" customHeight="true" outlineLevel="0" collapsed="false">
      <c r="A74" s="18" t="s">
        <v>396</v>
      </c>
      <c r="B74" s="16" t="s">
        <v>52</v>
      </c>
      <c r="C74" s="16" t="s">
        <v>372</v>
      </c>
      <c r="D74" s="16" t="s">
        <v>397</v>
      </c>
      <c r="E74" s="16" t="s">
        <v>398</v>
      </c>
      <c r="F74" s="16" t="s">
        <v>158</v>
      </c>
      <c r="G74" s="16" t="s">
        <v>68</v>
      </c>
      <c r="H74" s="19"/>
      <c r="I74" s="16" t="s">
        <v>228</v>
      </c>
      <c r="J74" s="16" t="s">
        <v>73</v>
      </c>
      <c r="K74" s="17"/>
      <c r="L74" s="17" t="s">
        <v>161</v>
      </c>
      <c r="M74" s="17"/>
      <c r="N74" s="17"/>
    </row>
    <row r="75" customFormat="false" ht="33" hidden="false" customHeight="true" outlineLevel="0" collapsed="false">
      <c r="A75" s="18" t="s">
        <v>399</v>
      </c>
      <c r="B75" s="16" t="s">
        <v>52</v>
      </c>
      <c r="C75" s="16" t="s">
        <v>372</v>
      </c>
      <c r="D75" s="16" t="s">
        <v>400</v>
      </c>
      <c r="E75" s="16" t="s">
        <v>401</v>
      </c>
      <c r="F75" s="16" t="s">
        <v>165</v>
      </c>
      <c r="G75" s="16" t="s">
        <v>68</v>
      </c>
      <c r="H75" s="19"/>
      <c r="I75" s="16" t="s">
        <v>228</v>
      </c>
      <c r="J75" s="16" t="s">
        <v>73</v>
      </c>
      <c r="K75" s="17"/>
      <c r="L75" s="17" t="s">
        <v>161</v>
      </c>
      <c r="M75" s="17"/>
      <c r="N75" s="17"/>
    </row>
    <row r="76" customFormat="false" ht="33" hidden="false" customHeight="true" outlineLevel="0" collapsed="false">
      <c r="A76" s="18" t="s">
        <v>402</v>
      </c>
      <c r="B76" s="16" t="s">
        <v>52</v>
      </c>
      <c r="C76" s="16" t="s">
        <v>372</v>
      </c>
      <c r="D76" s="16" t="s">
        <v>403</v>
      </c>
      <c r="E76" s="16" t="s">
        <v>404</v>
      </c>
      <c r="F76" s="16" t="s">
        <v>165</v>
      </c>
      <c r="G76" s="16" t="s">
        <v>68</v>
      </c>
      <c r="H76" s="19"/>
      <c r="I76" s="16" t="s">
        <v>228</v>
      </c>
      <c r="J76" s="16" t="s">
        <v>73</v>
      </c>
      <c r="K76" s="17"/>
      <c r="L76" s="17" t="s">
        <v>161</v>
      </c>
      <c r="M76" s="17"/>
      <c r="N76" s="17"/>
    </row>
    <row r="77" customFormat="false" ht="33" hidden="false" customHeight="true" outlineLevel="0" collapsed="false">
      <c r="A77" s="18" t="s">
        <v>405</v>
      </c>
      <c r="B77" s="16" t="s">
        <v>52</v>
      </c>
      <c r="C77" s="16" t="s">
        <v>372</v>
      </c>
      <c r="D77" s="16" t="s">
        <v>406</v>
      </c>
      <c r="E77" s="16" t="s">
        <v>407</v>
      </c>
      <c r="F77" s="16" t="s">
        <v>165</v>
      </c>
      <c r="G77" s="16" t="s">
        <v>68</v>
      </c>
      <c r="H77" s="19"/>
      <c r="I77" s="16" t="s">
        <v>169</v>
      </c>
      <c r="J77" s="16" t="s">
        <v>73</v>
      </c>
      <c r="K77" s="17"/>
      <c r="L77" s="17" t="s">
        <v>161</v>
      </c>
      <c r="M77" s="17"/>
      <c r="N77" s="17"/>
    </row>
    <row r="78" customFormat="false" ht="33" hidden="false" customHeight="true" outlineLevel="0" collapsed="false">
      <c r="A78" s="18" t="s">
        <v>408</v>
      </c>
      <c r="B78" s="16" t="s">
        <v>52</v>
      </c>
      <c r="C78" s="16" t="s">
        <v>372</v>
      </c>
      <c r="D78" s="16" t="s">
        <v>409</v>
      </c>
      <c r="E78" s="16" t="s">
        <v>410</v>
      </c>
      <c r="F78" s="16" t="s">
        <v>165</v>
      </c>
      <c r="G78" s="16" t="s">
        <v>67</v>
      </c>
      <c r="H78" s="19"/>
      <c r="I78" s="16" t="s">
        <v>276</v>
      </c>
      <c r="J78" s="16" t="s">
        <v>72</v>
      </c>
      <c r="K78" s="17"/>
      <c r="L78" s="17" t="s">
        <v>161</v>
      </c>
      <c r="M78" s="17"/>
      <c r="N78" s="17"/>
    </row>
    <row r="79" customFormat="false" ht="33" hidden="false" customHeight="true" outlineLevel="0" collapsed="false">
      <c r="A79" s="18" t="s">
        <v>411</v>
      </c>
      <c r="B79" s="16" t="s">
        <v>52</v>
      </c>
      <c r="C79" s="16" t="s">
        <v>372</v>
      </c>
      <c r="D79" s="16" t="s">
        <v>412</v>
      </c>
      <c r="E79" s="16" t="s">
        <v>413</v>
      </c>
      <c r="F79" s="16" t="s">
        <v>165</v>
      </c>
      <c r="G79" s="16" t="s">
        <v>68</v>
      </c>
      <c r="H79" s="19"/>
      <c r="I79" s="16" t="s">
        <v>228</v>
      </c>
      <c r="J79" s="16" t="s">
        <v>73</v>
      </c>
      <c r="K79" s="17"/>
      <c r="L79" s="17" t="s">
        <v>161</v>
      </c>
      <c r="M79" s="17"/>
      <c r="N79" s="17"/>
    </row>
    <row r="80" customFormat="false" ht="33" hidden="false" customHeight="true" outlineLevel="0" collapsed="false">
      <c r="A80" s="18" t="s">
        <v>414</v>
      </c>
      <c r="B80" s="16" t="s">
        <v>53</v>
      </c>
      <c r="C80" s="16" t="s">
        <v>415</v>
      </c>
      <c r="D80" s="16" t="s">
        <v>416</v>
      </c>
      <c r="E80" s="16" t="s">
        <v>417</v>
      </c>
      <c r="F80" s="16" t="s">
        <v>240</v>
      </c>
      <c r="G80" s="16" t="s">
        <v>68</v>
      </c>
      <c r="H80" s="19"/>
      <c r="I80" s="16" t="s">
        <v>169</v>
      </c>
      <c r="J80" s="16" t="s">
        <v>72</v>
      </c>
      <c r="K80" s="17"/>
      <c r="L80" s="17" t="s">
        <v>161</v>
      </c>
      <c r="M80" s="17"/>
      <c r="N80" s="17"/>
    </row>
    <row r="81" customFormat="false" ht="33" hidden="false" customHeight="true" outlineLevel="0" collapsed="false">
      <c r="A81" s="18" t="s">
        <v>418</v>
      </c>
      <c r="B81" s="16" t="s">
        <v>53</v>
      </c>
      <c r="C81" s="16" t="s">
        <v>415</v>
      </c>
      <c r="D81" s="16" t="s">
        <v>419</v>
      </c>
      <c r="E81" s="16" t="s">
        <v>420</v>
      </c>
      <c r="F81" s="16" t="s">
        <v>165</v>
      </c>
      <c r="G81" s="16" t="s">
        <v>67</v>
      </c>
      <c r="H81" s="19" t="s">
        <v>159</v>
      </c>
      <c r="I81" s="16" t="s">
        <v>169</v>
      </c>
      <c r="J81" s="16" t="s">
        <v>72</v>
      </c>
      <c r="K81" s="17"/>
      <c r="L81" s="17" t="s">
        <v>161</v>
      </c>
      <c r="M81" s="17"/>
      <c r="N81" s="17"/>
    </row>
    <row r="82" customFormat="false" ht="46.5" hidden="false" customHeight="true" outlineLevel="0" collapsed="false">
      <c r="A82" s="18" t="s">
        <v>421</v>
      </c>
      <c r="B82" s="16" t="s">
        <v>53</v>
      </c>
      <c r="C82" s="16" t="s">
        <v>415</v>
      </c>
      <c r="D82" s="16" t="s">
        <v>422</v>
      </c>
      <c r="E82" s="16" t="s">
        <v>423</v>
      </c>
      <c r="F82" s="16" t="s">
        <v>165</v>
      </c>
      <c r="G82" s="16" t="s">
        <v>68</v>
      </c>
      <c r="H82" s="19"/>
      <c r="I82" s="16" t="s">
        <v>228</v>
      </c>
      <c r="J82" s="16" t="s">
        <v>73</v>
      </c>
      <c r="K82" s="17"/>
      <c r="L82" s="17" t="s">
        <v>161</v>
      </c>
      <c r="M82" s="17"/>
      <c r="N82" s="17"/>
    </row>
    <row r="83" customFormat="false" ht="46.5" hidden="false" customHeight="true" outlineLevel="0" collapsed="false">
      <c r="A83" s="18" t="s">
        <v>424</v>
      </c>
      <c r="B83" s="16" t="s">
        <v>53</v>
      </c>
      <c r="C83" s="16" t="s">
        <v>415</v>
      </c>
      <c r="D83" s="16" t="s">
        <v>425</v>
      </c>
      <c r="E83" s="16" t="s">
        <v>426</v>
      </c>
      <c r="F83" s="16" t="s">
        <v>165</v>
      </c>
      <c r="G83" s="16" t="s">
        <v>67</v>
      </c>
      <c r="H83" s="19" t="s">
        <v>159</v>
      </c>
      <c r="I83" s="16" t="s">
        <v>272</v>
      </c>
      <c r="J83" s="16" t="s">
        <v>72</v>
      </c>
      <c r="K83" s="17"/>
      <c r="L83" s="17" t="s">
        <v>161</v>
      </c>
      <c r="M83" s="17"/>
      <c r="N83" s="17"/>
    </row>
    <row r="84" customFormat="false" ht="33" hidden="false" customHeight="true" outlineLevel="0" collapsed="false">
      <c r="A84" s="18" t="s">
        <v>427</v>
      </c>
      <c r="B84" s="16" t="s">
        <v>53</v>
      </c>
      <c r="C84" s="16" t="s">
        <v>415</v>
      </c>
      <c r="D84" s="16" t="s">
        <v>428</v>
      </c>
      <c r="E84" s="16" t="s">
        <v>429</v>
      </c>
      <c r="F84" s="16" t="s">
        <v>165</v>
      </c>
      <c r="G84" s="16" t="s">
        <v>68</v>
      </c>
      <c r="H84" s="19" t="s">
        <v>159</v>
      </c>
      <c r="I84" s="16" t="s">
        <v>169</v>
      </c>
      <c r="J84" s="16" t="s">
        <v>73</v>
      </c>
      <c r="K84" s="17"/>
      <c r="L84" s="17" t="s">
        <v>161</v>
      </c>
      <c r="M84" s="17"/>
      <c r="N84" s="17"/>
    </row>
    <row r="85" customFormat="false" ht="33" hidden="false" customHeight="true" outlineLevel="0" collapsed="false">
      <c r="A85" s="18" t="s">
        <v>430</v>
      </c>
      <c r="B85" s="16" t="s">
        <v>53</v>
      </c>
      <c r="C85" s="16" t="s">
        <v>415</v>
      </c>
      <c r="D85" s="16" t="s">
        <v>431</v>
      </c>
      <c r="E85" s="16" t="s">
        <v>432</v>
      </c>
      <c r="F85" s="16" t="s">
        <v>165</v>
      </c>
      <c r="G85" s="16" t="s">
        <v>68</v>
      </c>
      <c r="H85" s="19"/>
      <c r="I85" s="16" t="s">
        <v>169</v>
      </c>
      <c r="J85" s="16" t="s">
        <v>74</v>
      </c>
      <c r="K85" s="17"/>
      <c r="L85" s="17" t="s">
        <v>161</v>
      </c>
      <c r="M85" s="17"/>
      <c r="N85" s="17"/>
    </row>
    <row r="86" customFormat="false" ht="33" hidden="false" customHeight="true" outlineLevel="0" collapsed="false">
      <c r="A86" s="18" t="s">
        <v>433</v>
      </c>
      <c r="B86" s="16" t="s">
        <v>53</v>
      </c>
      <c r="C86" s="16" t="s">
        <v>415</v>
      </c>
      <c r="D86" s="16" t="s">
        <v>434</v>
      </c>
      <c r="E86" s="16" t="s">
        <v>435</v>
      </c>
      <c r="F86" s="16" t="s">
        <v>165</v>
      </c>
      <c r="G86" s="16" t="s">
        <v>68</v>
      </c>
      <c r="H86" s="19"/>
      <c r="I86" s="16" t="s">
        <v>210</v>
      </c>
      <c r="J86" s="16" t="s">
        <v>74</v>
      </c>
      <c r="K86" s="17"/>
      <c r="L86" s="17" t="s">
        <v>161</v>
      </c>
      <c r="M86" s="17"/>
      <c r="N86" s="17"/>
    </row>
    <row r="87" customFormat="false" ht="33" hidden="false" customHeight="true" outlineLevel="0" collapsed="false">
      <c r="A87" s="18" t="s">
        <v>436</v>
      </c>
      <c r="B87" s="16" t="s">
        <v>53</v>
      </c>
      <c r="C87" s="16" t="s">
        <v>415</v>
      </c>
      <c r="D87" s="16" t="s">
        <v>437</v>
      </c>
      <c r="E87" s="16" t="s">
        <v>438</v>
      </c>
      <c r="F87" s="16" t="s">
        <v>236</v>
      </c>
      <c r="G87" s="16" t="s">
        <v>67</v>
      </c>
      <c r="H87" s="19" t="s">
        <v>159</v>
      </c>
      <c r="I87" s="16" t="s">
        <v>196</v>
      </c>
      <c r="J87" s="16" t="s">
        <v>72</v>
      </c>
      <c r="K87" s="17"/>
      <c r="L87" s="17" t="s">
        <v>161</v>
      </c>
      <c r="M87" s="17"/>
      <c r="N87" s="17"/>
    </row>
    <row r="88" customFormat="false" ht="33" hidden="false" customHeight="true" outlineLevel="0" collapsed="false">
      <c r="A88" s="18" t="s">
        <v>439</v>
      </c>
      <c r="B88" s="16" t="s">
        <v>53</v>
      </c>
      <c r="C88" s="16" t="s">
        <v>415</v>
      </c>
      <c r="D88" s="16" t="s">
        <v>440</v>
      </c>
      <c r="E88" s="16" t="s">
        <v>441</v>
      </c>
      <c r="F88" s="16" t="s">
        <v>165</v>
      </c>
      <c r="G88" s="16" t="s">
        <v>68</v>
      </c>
      <c r="H88" s="19"/>
      <c r="I88" s="16" t="s">
        <v>228</v>
      </c>
      <c r="J88" s="16" t="s">
        <v>73</v>
      </c>
      <c r="K88" s="17"/>
      <c r="L88" s="17" t="s">
        <v>161</v>
      </c>
      <c r="M88" s="17"/>
      <c r="N88" s="17"/>
    </row>
    <row r="89" customFormat="false" ht="46.5" hidden="false" customHeight="true" outlineLevel="0" collapsed="false">
      <c r="A89" s="18" t="s">
        <v>442</v>
      </c>
      <c r="B89" s="16" t="s">
        <v>54</v>
      </c>
      <c r="C89" s="16" t="s">
        <v>443</v>
      </c>
      <c r="D89" s="16" t="s">
        <v>444</v>
      </c>
      <c r="E89" s="16" t="s">
        <v>445</v>
      </c>
      <c r="F89" s="16" t="s">
        <v>240</v>
      </c>
      <c r="G89" s="16" t="s">
        <v>68</v>
      </c>
      <c r="H89" s="19" t="s">
        <v>159</v>
      </c>
      <c r="I89" s="16" t="s">
        <v>196</v>
      </c>
      <c r="J89" s="16" t="s">
        <v>72</v>
      </c>
      <c r="K89" s="17"/>
      <c r="L89" s="17" t="s">
        <v>161</v>
      </c>
      <c r="M89" s="17"/>
      <c r="N89" s="17"/>
    </row>
    <row r="90" customFormat="false" ht="33" hidden="false" customHeight="true" outlineLevel="0" collapsed="false">
      <c r="A90" s="18" t="s">
        <v>446</v>
      </c>
      <c r="B90" s="16" t="s">
        <v>54</v>
      </c>
      <c r="C90" s="16" t="s">
        <v>443</v>
      </c>
      <c r="D90" s="16" t="s">
        <v>447</v>
      </c>
      <c r="E90" s="16" t="s">
        <v>448</v>
      </c>
      <c r="F90" s="16" t="s">
        <v>165</v>
      </c>
      <c r="G90" s="16" t="s">
        <v>68</v>
      </c>
      <c r="H90" s="19" t="s">
        <v>159</v>
      </c>
      <c r="I90" s="16" t="s">
        <v>196</v>
      </c>
      <c r="J90" s="16" t="s">
        <v>72</v>
      </c>
      <c r="K90" s="17"/>
      <c r="L90" s="17" t="s">
        <v>161</v>
      </c>
      <c r="M90" s="17"/>
      <c r="N90" s="17"/>
    </row>
    <row r="91" customFormat="false" ht="33" hidden="false" customHeight="true" outlineLevel="0" collapsed="false">
      <c r="A91" s="18" t="s">
        <v>449</v>
      </c>
      <c r="B91" s="16" t="s">
        <v>54</v>
      </c>
      <c r="C91" s="16" t="s">
        <v>443</v>
      </c>
      <c r="D91" s="16" t="s">
        <v>450</v>
      </c>
      <c r="E91" s="16" t="s">
        <v>451</v>
      </c>
      <c r="F91" s="16" t="s">
        <v>173</v>
      </c>
      <c r="G91" s="16" t="s">
        <v>68</v>
      </c>
      <c r="H91" s="19" t="s">
        <v>159</v>
      </c>
      <c r="I91" s="16" t="s">
        <v>196</v>
      </c>
      <c r="J91" s="16" t="s">
        <v>73</v>
      </c>
      <c r="K91" s="17"/>
      <c r="L91" s="17" t="s">
        <v>161</v>
      </c>
      <c r="M91" s="17"/>
      <c r="N91" s="17"/>
    </row>
    <row r="92" customFormat="false" ht="33" hidden="false" customHeight="true" outlineLevel="0" collapsed="false">
      <c r="A92" s="18" t="s">
        <v>452</v>
      </c>
      <c r="B92" s="16" t="s">
        <v>54</v>
      </c>
      <c r="C92" s="16" t="s">
        <v>443</v>
      </c>
      <c r="D92" s="16" t="s">
        <v>453</v>
      </c>
      <c r="E92" s="16" t="s">
        <v>454</v>
      </c>
      <c r="F92" s="16" t="s">
        <v>165</v>
      </c>
      <c r="G92" s="16" t="s">
        <v>68</v>
      </c>
      <c r="H92" s="19"/>
      <c r="I92" s="16" t="s">
        <v>196</v>
      </c>
      <c r="J92" s="16" t="s">
        <v>73</v>
      </c>
      <c r="K92" s="17"/>
      <c r="L92" s="17" t="s">
        <v>161</v>
      </c>
      <c r="M92" s="17"/>
      <c r="N92" s="17"/>
    </row>
    <row r="93" customFormat="false" ht="46.5" hidden="false" customHeight="true" outlineLevel="0" collapsed="false">
      <c r="A93" s="18" t="s">
        <v>455</v>
      </c>
      <c r="B93" s="16" t="s">
        <v>54</v>
      </c>
      <c r="C93" s="16" t="s">
        <v>456</v>
      </c>
      <c r="D93" s="16" t="s">
        <v>457</v>
      </c>
      <c r="E93" s="16" t="s">
        <v>458</v>
      </c>
      <c r="F93" s="16" t="s">
        <v>240</v>
      </c>
      <c r="G93" s="16" t="s">
        <v>67</v>
      </c>
      <c r="H93" s="19" t="s">
        <v>159</v>
      </c>
      <c r="I93" s="16" t="s">
        <v>210</v>
      </c>
      <c r="J93" s="16" t="s">
        <v>72</v>
      </c>
      <c r="K93" s="17"/>
      <c r="L93" s="17" t="s">
        <v>161</v>
      </c>
      <c r="M93" s="17"/>
      <c r="N93" s="17"/>
    </row>
    <row r="94" customFormat="false" ht="33" hidden="false" customHeight="true" outlineLevel="0" collapsed="false">
      <c r="A94" s="18" t="s">
        <v>459</v>
      </c>
      <c r="B94" s="16" t="s">
        <v>54</v>
      </c>
      <c r="C94" s="16" t="s">
        <v>443</v>
      </c>
      <c r="D94" s="16" t="s">
        <v>460</v>
      </c>
      <c r="E94" s="16" t="s">
        <v>461</v>
      </c>
      <c r="F94" s="16" t="s">
        <v>165</v>
      </c>
      <c r="G94" s="16" t="s">
        <v>69</v>
      </c>
      <c r="H94" s="19"/>
      <c r="I94" s="16" t="s">
        <v>196</v>
      </c>
      <c r="J94" s="16" t="s">
        <v>74</v>
      </c>
      <c r="K94" s="17"/>
      <c r="L94" s="17" t="s">
        <v>161</v>
      </c>
      <c r="M94" s="17"/>
      <c r="N94" s="17"/>
    </row>
    <row r="95" customFormat="false" ht="33" hidden="false" customHeight="true" outlineLevel="0" collapsed="false">
      <c r="A95" s="18" t="s">
        <v>462</v>
      </c>
      <c r="B95" s="16" t="s">
        <v>54</v>
      </c>
      <c r="C95" s="16" t="s">
        <v>443</v>
      </c>
      <c r="D95" s="16" t="s">
        <v>463</v>
      </c>
      <c r="E95" s="16" t="s">
        <v>464</v>
      </c>
      <c r="F95" s="16" t="s">
        <v>165</v>
      </c>
      <c r="G95" s="16" t="s">
        <v>69</v>
      </c>
      <c r="H95" s="19"/>
      <c r="I95" s="16" t="s">
        <v>196</v>
      </c>
      <c r="J95" s="16" t="s">
        <v>74</v>
      </c>
      <c r="K95" s="17"/>
      <c r="L95" s="17" t="s">
        <v>161</v>
      </c>
      <c r="M95" s="17"/>
      <c r="N95" s="17"/>
    </row>
    <row r="96" customFormat="false" ht="46.5" hidden="false" customHeight="true" outlineLevel="0" collapsed="false">
      <c r="A96" s="18" t="s">
        <v>465</v>
      </c>
      <c r="B96" s="16" t="s">
        <v>55</v>
      </c>
      <c r="C96" s="16" t="s">
        <v>155</v>
      </c>
      <c r="D96" s="16" t="s">
        <v>466</v>
      </c>
      <c r="E96" s="16" t="s">
        <v>467</v>
      </c>
      <c r="F96" s="16" t="s">
        <v>158</v>
      </c>
      <c r="G96" s="16" t="s">
        <v>67</v>
      </c>
      <c r="H96" s="19" t="s">
        <v>159</v>
      </c>
      <c r="I96" s="16" t="s">
        <v>169</v>
      </c>
      <c r="J96" s="16" t="s">
        <v>72</v>
      </c>
      <c r="K96" s="17"/>
      <c r="L96" s="17" t="s">
        <v>161</v>
      </c>
      <c r="M96" s="17"/>
      <c r="N96" s="17"/>
    </row>
    <row r="97" customFormat="false" ht="46.5" hidden="false" customHeight="true" outlineLevel="0" collapsed="false">
      <c r="A97" s="18" t="s">
        <v>468</v>
      </c>
      <c r="B97" s="16" t="s">
        <v>55</v>
      </c>
      <c r="C97" s="16" t="s">
        <v>155</v>
      </c>
      <c r="D97" s="16" t="s">
        <v>469</v>
      </c>
      <c r="E97" s="16" t="s">
        <v>470</v>
      </c>
      <c r="F97" s="16" t="s">
        <v>173</v>
      </c>
      <c r="G97" s="16" t="s">
        <v>67</v>
      </c>
      <c r="H97" s="19" t="s">
        <v>159</v>
      </c>
      <c r="I97" s="16" t="s">
        <v>272</v>
      </c>
      <c r="J97" s="16" t="s">
        <v>72</v>
      </c>
      <c r="K97" s="17"/>
      <c r="L97" s="17" t="s">
        <v>161</v>
      </c>
      <c r="M97" s="17"/>
      <c r="N97" s="17"/>
    </row>
    <row r="98" customFormat="false" ht="46.5" hidden="false" customHeight="true" outlineLevel="0" collapsed="false">
      <c r="A98" s="18" t="s">
        <v>471</v>
      </c>
      <c r="B98" s="16" t="s">
        <v>55</v>
      </c>
      <c r="C98" s="16" t="s">
        <v>155</v>
      </c>
      <c r="D98" s="16" t="s">
        <v>472</v>
      </c>
      <c r="E98" s="16" t="s">
        <v>473</v>
      </c>
      <c r="F98" s="16" t="s">
        <v>165</v>
      </c>
      <c r="G98" s="16" t="s">
        <v>67</v>
      </c>
      <c r="H98" s="19"/>
      <c r="I98" s="16" t="s">
        <v>276</v>
      </c>
      <c r="J98" s="16" t="s">
        <v>72</v>
      </c>
      <c r="K98" s="17"/>
      <c r="L98" s="17" t="s">
        <v>161</v>
      </c>
      <c r="M98" s="17"/>
      <c r="N98" s="17"/>
    </row>
    <row r="99" customFormat="false" ht="33" hidden="false" customHeight="true" outlineLevel="0" collapsed="false">
      <c r="A99" s="18" t="s">
        <v>474</v>
      </c>
      <c r="B99" s="16" t="s">
        <v>55</v>
      </c>
      <c r="C99" s="16" t="s">
        <v>155</v>
      </c>
      <c r="D99" s="16" t="s">
        <v>475</v>
      </c>
      <c r="E99" s="16" t="s">
        <v>476</v>
      </c>
      <c r="F99" s="16" t="s">
        <v>165</v>
      </c>
      <c r="G99" s="16" t="s">
        <v>67</v>
      </c>
      <c r="H99" s="19" t="s">
        <v>159</v>
      </c>
      <c r="I99" s="16" t="s">
        <v>276</v>
      </c>
      <c r="J99" s="16" t="s">
        <v>72</v>
      </c>
      <c r="K99" s="17"/>
      <c r="L99" s="17" t="s">
        <v>161</v>
      </c>
      <c r="M99" s="17"/>
      <c r="N99" s="17"/>
    </row>
    <row r="100" customFormat="false" ht="33" hidden="false" customHeight="true" outlineLevel="0" collapsed="false">
      <c r="A100" s="18" t="s">
        <v>477</v>
      </c>
      <c r="B100" s="16" t="s">
        <v>55</v>
      </c>
      <c r="C100" s="16" t="s">
        <v>155</v>
      </c>
      <c r="D100" s="16" t="s">
        <v>478</v>
      </c>
      <c r="E100" s="16" t="s">
        <v>479</v>
      </c>
      <c r="F100" s="16" t="s">
        <v>165</v>
      </c>
      <c r="G100" s="16" t="s">
        <v>68</v>
      </c>
      <c r="H100" s="19"/>
      <c r="I100" s="16" t="s">
        <v>293</v>
      </c>
      <c r="J100" s="16" t="s">
        <v>73</v>
      </c>
      <c r="K100" s="17"/>
      <c r="L100" s="17" t="s">
        <v>161</v>
      </c>
      <c r="M100" s="17"/>
      <c r="N100" s="17"/>
    </row>
    <row r="101" customFormat="false" ht="33" hidden="false" customHeight="true" outlineLevel="0" collapsed="false">
      <c r="A101" s="18" t="s">
        <v>480</v>
      </c>
      <c r="B101" s="16" t="s">
        <v>55</v>
      </c>
      <c r="C101" s="16" t="s">
        <v>155</v>
      </c>
      <c r="D101" s="16" t="s">
        <v>481</v>
      </c>
      <c r="E101" s="16" t="s">
        <v>482</v>
      </c>
      <c r="F101" s="16" t="s">
        <v>165</v>
      </c>
      <c r="G101" s="16" t="s">
        <v>68</v>
      </c>
      <c r="H101" s="19"/>
      <c r="I101" s="16" t="s">
        <v>169</v>
      </c>
      <c r="J101" s="16" t="s">
        <v>73</v>
      </c>
      <c r="K101" s="17"/>
      <c r="L101" s="17" t="s">
        <v>161</v>
      </c>
      <c r="M101" s="17"/>
      <c r="N101" s="17"/>
    </row>
    <row r="102" customFormat="false" ht="33" hidden="false" customHeight="true" outlineLevel="0" collapsed="false">
      <c r="A102" s="18" t="s">
        <v>483</v>
      </c>
      <c r="B102" s="16" t="s">
        <v>55</v>
      </c>
      <c r="C102" s="16" t="s">
        <v>155</v>
      </c>
      <c r="D102" s="16" t="s">
        <v>484</v>
      </c>
      <c r="E102" s="16" t="s">
        <v>485</v>
      </c>
      <c r="F102" s="16" t="s">
        <v>165</v>
      </c>
      <c r="G102" s="16" t="s">
        <v>68</v>
      </c>
      <c r="H102" s="19"/>
      <c r="I102" s="16" t="s">
        <v>169</v>
      </c>
      <c r="J102" s="16" t="s">
        <v>72</v>
      </c>
      <c r="K102" s="17"/>
      <c r="L102" s="17" t="s">
        <v>161</v>
      </c>
      <c r="M102" s="17"/>
      <c r="N102" s="17"/>
    </row>
    <row r="103" customFormat="false" ht="46.5" hidden="false" customHeight="true" outlineLevel="0" collapsed="false">
      <c r="A103" s="18" t="s">
        <v>486</v>
      </c>
      <c r="B103" s="16" t="s">
        <v>55</v>
      </c>
      <c r="C103" s="16" t="s">
        <v>155</v>
      </c>
      <c r="D103" s="16" t="s">
        <v>487</v>
      </c>
      <c r="E103" s="16" t="s">
        <v>488</v>
      </c>
      <c r="F103" s="16" t="s">
        <v>173</v>
      </c>
      <c r="G103" s="16" t="s">
        <v>67</v>
      </c>
      <c r="H103" s="19" t="s">
        <v>159</v>
      </c>
      <c r="I103" s="16" t="s">
        <v>169</v>
      </c>
      <c r="J103" s="16" t="s">
        <v>72</v>
      </c>
      <c r="K103" s="17"/>
      <c r="L103" s="17" t="s">
        <v>161</v>
      </c>
      <c r="M103" s="17"/>
      <c r="N103" s="17"/>
    </row>
    <row r="104" customFormat="false" ht="33" hidden="false" customHeight="true" outlineLevel="0" collapsed="false">
      <c r="A104" s="18" t="s">
        <v>489</v>
      </c>
      <c r="B104" s="16" t="s">
        <v>55</v>
      </c>
      <c r="C104" s="16" t="s">
        <v>155</v>
      </c>
      <c r="D104" s="16" t="s">
        <v>490</v>
      </c>
      <c r="E104" s="16" t="s">
        <v>491</v>
      </c>
      <c r="F104" s="16" t="s">
        <v>165</v>
      </c>
      <c r="G104" s="16" t="s">
        <v>69</v>
      </c>
      <c r="H104" s="19"/>
      <c r="I104" s="16" t="s">
        <v>272</v>
      </c>
      <c r="J104" s="16" t="s">
        <v>73</v>
      </c>
      <c r="K104" s="17"/>
      <c r="L104" s="17" t="s">
        <v>161</v>
      </c>
      <c r="M104" s="17"/>
      <c r="N104" s="17"/>
    </row>
    <row r="105" customFormat="false" ht="33" hidden="false" customHeight="true" outlineLevel="0" collapsed="false">
      <c r="A105" s="18" t="s">
        <v>492</v>
      </c>
      <c r="B105" s="16" t="s">
        <v>55</v>
      </c>
      <c r="C105" s="16" t="s">
        <v>493</v>
      </c>
      <c r="D105" s="16" t="s">
        <v>494</v>
      </c>
      <c r="E105" s="16" t="s">
        <v>495</v>
      </c>
      <c r="F105" s="16" t="s">
        <v>165</v>
      </c>
      <c r="G105" s="16" t="s">
        <v>69</v>
      </c>
      <c r="H105" s="19"/>
      <c r="I105" s="16" t="s">
        <v>276</v>
      </c>
      <c r="J105" s="16" t="s">
        <v>73</v>
      </c>
      <c r="K105" s="17"/>
      <c r="L105" s="17" t="s">
        <v>161</v>
      </c>
      <c r="M105" s="17"/>
      <c r="N105" s="17"/>
    </row>
    <row r="106" customFormat="false" ht="46.5" hidden="false" customHeight="true" outlineLevel="0" collapsed="false">
      <c r="A106" s="18" t="s">
        <v>496</v>
      </c>
      <c r="B106" s="16" t="s">
        <v>56</v>
      </c>
      <c r="C106" s="16" t="s">
        <v>155</v>
      </c>
      <c r="D106" s="16" t="s">
        <v>497</v>
      </c>
      <c r="E106" s="16" t="s">
        <v>498</v>
      </c>
      <c r="F106" s="16" t="s">
        <v>158</v>
      </c>
      <c r="G106" s="16" t="s">
        <v>67</v>
      </c>
      <c r="H106" s="19" t="s">
        <v>159</v>
      </c>
      <c r="I106" s="16" t="s">
        <v>196</v>
      </c>
      <c r="J106" s="16" t="s">
        <v>71</v>
      </c>
      <c r="K106" s="17"/>
      <c r="L106" s="17" t="s">
        <v>161</v>
      </c>
      <c r="M106" s="17"/>
      <c r="N106" s="17"/>
    </row>
    <row r="107" customFormat="false" ht="60" hidden="false" customHeight="true" outlineLevel="0" collapsed="false">
      <c r="A107" s="18" t="s">
        <v>499</v>
      </c>
      <c r="B107" s="16" t="s">
        <v>56</v>
      </c>
      <c r="C107" s="16" t="s">
        <v>155</v>
      </c>
      <c r="D107" s="16" t="s">
        <v>500</v>
      </c>
      <c r="E107" s="16" t="s">
        <v>501</v>
      </c>
      <c r="F107" s="16" t="s">
        <v>173</v>
      </c>
      <c r="G107" s="16" t="s">
        <v>67</v>
      </c>
      <c r="H107" s="19" t="s">
        <v>159</v>
      </c>
      <c r="I107" s="16" t="s">
        <v>196</v>
      </c>
      <c r="J107" s="16" t="s">
        <v>71</v>
      </c>
      <c r="K107" s="17"/>
      <c r="L107" s="17" t="s">
        <v>161</v>
      </c>
      <c r="M107" s="17"/>
      <c r="N107" s="17"/>
    </row>
    <row r="108" customFormat="false" ht="33" hidden="false" customHeight="true" outlineLevel="0" collapsed="false">
      <c r="A108" s="18" t="s">
        <v>502</v>
      </c>
      <c r="B108" s="16" t="s">
        <v>56</v>
      </c>
      <c r="C108" s="16" t="s">
        <v>155</v>
      </c>
      <c r="D108" s="16" t="s">
        <v>503</v>
      </c>
      <c r="E108" s="16" t="s">
        <v>504</v>
      </c>
      <c r="F108" s="16" t="s">
        <v>165</v>
      </c>
      <c r="G108" s="16" t="s">
        <v>67</v>
      </c>
      <c r="H108" s="19"/>
      <c r="I108" s="16" t="s">
        <v>196</v>
      </c>
      <c r="J108" s="16" t="s">
        <v>71</v>
      </c>
      <c r="K108" s="17"/>
      <c r="L108" s="17" t="s">
        <v>161</v>
      </c>
      <c r="M108" s="17"/>
      <c r="N108" s="17"/>
    </row>
    <row r="109" customFormat="false" ht="46.5" hidden="false" customHeight="true" outlineLevel="0" collapsed="false">
      <c r="A109" s="18" t="s">
        <v>505</v>
      </c>
      <c r="B109" s="16" t="s">
        <v>56</v>
      </c>
      <c r="C109" s="16" t="s">
        <v>155</v>
      </c>
      <c r="D109" s="16" t="s">
        <v>506</v>
      </c>
      <c r="E109" s="16" t="s">
        <v>507</v>
      </c>
      <c r="F109" s="16" t="s">
        <v>173</v>
      </c>
      <c r="G109" s="16" t="s">
        <v>67</v>
      </c>
      <c r="H109" s="19" t="s">
        <v>159</v>
      </c>
      <c r="I109" s="16" t="s">
        <v>210</v>
      </c>
      <c r="J109" s="16" t="s">
        <v>72</v>
      </c>
      <c r="K109" s="17"/>
      <c r="L109" s="17" t="s">
        <v>161</v>
      </c>
      <c r="M109" s="17"/>
      <c r="N109" s="17"/>
    </row>
    <row r="110" customFormat="false" ht="46.5" hidden="false" customHeight="true" outlineLevel="0" collapsed="false">
      <c r="A110" s="18" t="s">
        <v>508</v>
      </c>
      <c r="B110" s="16" t="s">
        <v>56</v>
      </c>
      <c r="C110" s="16" t="s">
        <v>327</v>
      </c>
      <c r="D110" s="16" t="s">
        <v>509</v>
      </c>
      <c r="E110" s="16" t="s">
        <v>510</v>
      </c>
      <c r="F110" s="16" t="s">
        <v>165</v>
      </c>
      <c r="G110" s="16" t="s">
        <v>67</v>
      </c>
      <c r="H110" s="19"/>
      <c r="I110" s="16" t="s">
        <v>210</v>
      </c>
      <c r="J110" s="16" t="s">
        <v>72</v>
      </c>
      <c r="K110" s="17"/>
      <c r="L110" s="17" t="s">
        <v>161</v>
      </c>
      <c r="M110" s="17"/>
      <c r="N110" s="17"/>
    </row>
    <row r="111" customFormat="false" ht="33" hidden="false" customHeight="true" outlineLevel="0" collapsed="false">
      <c r="A111" s="18" t="s">
        <v>511</v>
      </c>
      <c r="B111" s="16" t="s">
        <v>56</v>
      </c>
      <c r="C111" s="16" t="s">
        <v>314</v>
      </c>
      <c r="D111" s="16" t="s">
        <v>512</v>
      </c>
      <c r="E111" s="16" t="s">
        <v>513</v>
      </c>
      <c r="F111" s="16" t="s">
        <v>240</v>
      </c>
      <c r="G111" s="16" t="s">
        <v>68</v>
      </c>
      <c r="H111" s="19" t="s">
        <v>159</v>
      </c>
      <c r="I111" s="16" t="s">
        <v>210</v>
      </c>
      <c r="J111" s="16" t="s">
        <v>73</v>
      </c>
      <c r="K111" s="17"/>
      <c r="L111" s="17" t="s">
        <v>161</v>
      </c>
      <c r="M111" s="17"/>
      <c r="N111" s="17"/>
    </row>
    <row r="112" customFormat="false" ht="46.5" hidden="false" customHeight="true" outlineLevel="0" collapsed="false">
      <c r="A112" s="18" t="s">
        <v>514</v>
      </c>
      <c r="B112" s="16" t="s">
        <v>56</v>
      </c>
      <c r="C112" s="16" t="s">
        <v>515</v>
      </c>
      <c r="D112" s="16" t="s">
        <v>516</v>
      </c>
      <c r="E112" s="16" t="s">
        <v>517</v>
      </c>
      <c r="F112" s="16" t="s">
        <v>165</v>
      </c>
      <c r="G112" s="16" t="s">
        <v>68</v>
      </c>
      <c r="H112" s="19"/>
      <c r="I112" s="16" t="s">
        <v>196</v>
      </c>
      <c r="J112" s="16" t="s">
        <v>74</v>
      </c>
      <c r="K112" s="17"/>
      <c r="L112" s="17" t="s">
        <v>161</v>
      </c>
      <c r="M112" s="17"/>
      <c r="N112" s="17"/>
    </row>
    <row r="113" customFormat="false" ht="46.5" hidden="false" customHeight="true" outlineLevel="0" collapsed="false">
      <c r="A113" s="18" t="s">
        <v>518</v>
      </c>
      <c r="B113" s="16" t="s">
        <v>56</v>
      </c>
      <c r="C113" s="16" t="s">
        <v>155</v>
      </c>
      <c r="D113" s="16" t="s">
        <v>519</v>
      </c>
      <c r="E113" s="16" t="s">
        <v>520</v>
      </c>
      <c r="F113" s="16" t="s">
        <v>173</v>
      </c>
      <c r="G113" s="16" t="s">
        <v>67</v>
      </c>
      <c r="H113" s="19"/>
      <c r="I113" s="16" t="s">
        <v>254</v>
      </c>
      <c r="J113" s="16" t="s">
        <v>71</v>
      </c>
      <c r="K113" s="17"/>
      <c r="L113" s="17" t="s">
        <v>161</v>
      </c>
      <c r="M113" s="17"/>
      <c r="N113" s="17"/>
    </row>
    <row r="114" customFormat="false" ht="46.5" hidden="false" customHeight="true" outlineLevel="0" collapsed="false">
      <c r="A114" s="18" t="s">
        <v>521</v>
      </c>
      <c r="B114" s="16" t="s">
        <v>56</v>
      </c>
      <c r="C114" s="16" t="s">
        <v>155</v>
      </c>
      <c r="D114" s="16" t="s">
        <v>522</v>
      </c>
      <c r="E114" s="16" t="s">
        <v>523</v>
      </c>
      <c r="F114" s="16" t="s">
        <v>165</v>
      </c>
      <c r="G114" s="16" t="s">
        <v>67</v>
      </c>
      <c r="H114" s="19"/>
      <c r="I114" s="16" t="s">
        <v>196</v>
      </c>
      <c r="J114" s="16" t="s">
        <v>72</v>
      </c>
      <c r="K114" s="17"/>
      <c r="L114" s="17" t="s">
        <v>161</v>
      </c>
      <c r="M114" s="17"/>
      <c r="N114" s="17"/>
    </row>
    <row r="115" customFormat="false" ht="33" hidden="false" customHeight="true" outlineLevel="0" collapsed="false">
      <c r="A115" s="18" t="s">
        <v>524</v>
      </c>
      <c r="B115" s="16" t="s">
        <v>56</v>
      </c>
      <c r="C115" s="16" t="s">
        <v>155</v>
      </c>
      <c r="D115" s="16" t="s">
        <v>525</v>
      </c>
      <c r="E115" s="16" t="s">
        <v>526</v>
      </c>
      <c r="F115" s="16" t="s">
        <v>165</v>
      </c>
      <c r="G115" s="16" t="s">
        <v>67</v>
      </c>
      <c r="H115" s="19"/>
      <c r="I115" s="16" t="s">
        <v>254</v>
      </c>
      <c r="J115" s="16" t="s">
        <v>72</v>
      </c>
      <c r="K115" s="17"/>
      <c r="L115" s="17" t="s">
        <v>161</v>
      </c>
      <c r="M115" s="17"/>
      <c r="N115" s="17"/>
    </row>
    <row r="116" customFormat="false" ht="33" hidden="false" customHeight="true" outlineLevel="0" collapsed="false">
      <c r="A116" s="18" t="s">
        <v>527</v>
      </c>
      <c r="B116" s="16" t="s">
        <v>56</v>
      </c>
      <c r="C116" s="16" t="s">
        <v>155</v>
      </c>
      <c r="D116" s="16" t="s">
        <v>528</v>
      </c>
      <c r="E116" s="16" t="s">
        <v>529</v>
      </c>
      <c r="F116" s="16" t="s">
        <v>165</v>
      </c>
      <c r="G116" s="16" t="s">
        <v>68</v>
      </c>
      <c r="H116" s="19"/>
      <c r="I116" s="16" t="s">
        <v>196</v>
      </c>
      <c r="J116" s="16" t="s">
        <v>73</v>
      </c>
      <c r="K116" s="17"/>
      <c r="L116" s="17" t="s">
        <v>161</v>
      </c>
      <c r="M116" s="17"/>
      <c r="N116" s="17"/>
    </row>
    <row r="117" customFormat="false" ht="33" hidden="false" customHeight="true" outlineLevel="0" collapsed="false">
      <c r="A117" s="18" t="s">
        <v>530</v>
      </c>
      <c r="B117" s="16" t="s">
        <v>56</v>
      </c>
      <c r="C117" s="16" t="s">
        <v>155</v>
      </c>
      <c r="D117" s="16" t="s">
        <v>531</v>
      </c>
      <c r="E117" s="16" t="s">
        <v>532</v>
      </c>
      <c r="F117" s="16" t="s">
        <v>165</v>
      </c>
      <c r="G117" s="16" t="s">
        <v>67</v>
      </c>
      <c r="H117" s="19" t="s">
        <v>159</v>
      </c>
      <c r="I117" s="16" t="s">
        <v>196</v>
      </c>
      <c r="J117" s="16" t="s">
        <v>71</v>
      </c>
      <c r="K117" s="17"/>
      <c r="L117" s="17" t="s">
        <v>161</v>
      </c>
      <c r="M117" s="17"/>
      <c r="N117" s="17"/>
    </row>
    <row r="118" customFormat="false" ht="33" hidden="false" customHeight="true" outlineLevel="0" collapsed="false">
      <c r="A118" s="18" t="s">
        <v>533</v>
      </c>
      <c r="B118" s="16" t="s">
        <v>56</v>
      </c>
      <c r="C118" s="16" t="s">
        <v>155</v>
      </c>
      <c r="D118" s="16" t="s">
        <v>534</v>
      </c>
      <c r="E118" s="16" t="s">
        <v>535</v>
      </c>
      <c r="F118" s="16" t="s">
        <v>165</v>
      </c>
      <c r="G118" s="16" t="s">
        <v>68</v>
      </c>
      <c r="H118" s="19"/>
      <c r="I118" s="16" t="s">
        <v>210</v>
      </c>
      <c r="J118" s="16" t="s">
        <v>73</v>
      </c>
      <c r="K118" s="17"/>
      <c r="L118" s="17" t="s">
        <v>161</v>
      </c>
      <c r="M118" s="17"/>
      <c r="N118" s="17"/>
    </row>
    <row r="119" customFormat="false" ht="46.5" hidden="false" customHeight="true" outlineLevel="0" collapsed="false">
      <c r="A119" s="18" t="s">
        <v>536</v>
      </c>
      <c r="B119" s="16" t="s">
        <v>56</v>
      </c>
      <c r="C119" s="16" t="s">
        <v>155</v>
      </c>
      <c r="D119" s="16" t="s">
        <v>537</v>
      </c>
      <c r="E119" s="16" t="s">
        <v>538</v>
      </c>
      <c r="F119" s="16" t="s">
        <v>165</v>
      </c>
      <c r="G119" s="16" t="s">
        <v>67</v>
      </c>
      <c r="H119" s="19"/>
      <c r="I119" s="16" t="s">
        <v>196</v>
      </c>
      <c r="J119" s="16" t="s">
        <v>72</v>
      </c>
      <c r="K119" s="17"/>
      <c r="L119" s="17" t="s">
        <v>161</v>
      </c>
      <c r="M119" s="17"/>
      <c r="N119" s="17"/>
    </row>
    <row r="120" customFormat="false" ht="33" hidden="false" customHeight="true" outlineLevel="0" collapsed="false">
      <c r="A120" s="18" t="s">
        <v>539</v>
      </c>
      <c r="B120" s="16" t="s">
        <v>56</v>
      </c>
      <c r="C120" s="16" t="s">
        <v>242</v>
      </c>
      <c r="D120" s="16" t="s">
        <v>540</v>
      </c>
      <c r="E120" s="16" t="s">
        <v>541</v>
      </c>
      <c r="F120" s="16" t="s">
        <v>165</v>
      </c>
      <c r="G120" s="16" t="s">
        <v>69</v>
      </c>
      <c r="H120" s="19"/>
      <c r="I120" s="16" t="s">
        <v>272</v>
      </c>
      <c r="J120" s="16" t="s">
        <v>74</v>
      </c>
      <c r="K120" s="17"/>
      <c r="L120" s="17" t="s">
        <v>161</v>
      </c>
      <c r="M120" s="17"/>
      <c r="N120" s="17"/>
    </row>
    <row r="121" customFormat="false" ht="60" hidden="false" customHeight="true" outlineLevel="0" collapsed="false">
      <c r="A121" s="18" t="s">
        <v>542</v>
      </c>
      <c r="B121" s="16" t="s">
        <v>57</v>
      </c>
      <c r="C121" s="16" t="s">
        <v>155</v>
      </c>
      <c r="D121" s="16" t="s">
        <v>543</v>
      </c>
      <c r="E121" s="16" t="s">
        <v>544</v>
      </c>
      <c r="F121" s="16" t="s">
        <v>158</v>
      </c>
      <c r="G121" s="16" t="s">
        <v>67</v>
      </c>
      <c r="H121" s="19" t="s">
        <v>159</v>
      </c>
      <c r="I121" s="16" t="s">
        <v>210</v>
      </c>
      <c r="J121" s="16" t="s">
        <v>71</v>
      </c>
      <c r="K121" s="17"/>
      <c r="L121" s="17" t="s">
        <v>161</v>
      </c>
      <c r="M121" s="17"/>
      <c r="N121" s="17"/>
    </row>
    <row r="122" customFormat="false" ht="33" hidden="false" customHeight="true" outlineLevel="0" collapsed="false">
      <c r="A122" s="18" t="s">
        <v>545</v>
      </c>
      <c r="B122" s="16" t="s">
        <v>57</v>
      </c>
      <c r="C122" s="16" t="s">
        <v>155</v>
      </c>
      <c r="D122" s="16" t="s">
        <v>546</v>
      </c>
      <c r="E122" s="16" t="s">
        <v>547</v>
      </c>
      <c r="F122" s="16" t="s">
        <v>165</v>
      </c>
      <c r="G122" s="16" t="s">
        <v>67</v>
      </c>
      <c r="H122" s="19" t="s">
        <v>159</v>
      </c>
      <c r="I122" s="16" t="s">
        <v>210</v>
      </c>
      <c r="J122" s="16" t="s">
        <v>71</v>
      </c>
      <c r="K122" s="17"/>
      <c r="L122" s="17" t="s">
        <v>161</v>
      </c>
      <c r="M122" s="17"/>
      <c r="N122" s="17"/>
    </row>
    <row r="123" customFormat="false" ht="33" hidden="false" customHeight="true" outlineLevel="0" collapsed="false">
      <c r="A123" s="18" t="s">
        <v>548</v>
      </c>
      <c r="B123" s="16" t="s">
        <v>57</v>
      </c>
      <c r="C123" s="16" t="s">
        <v>155</v>
      </c>
      <c r="D123" s="16" t="s">
        <v>549</v>
      </c>
      <c r="E123" s="16" t="s">
        <v>550</v>
      </c>
      <c r="F123" s="16" t="s">
        <v>165</v>
      </c>
      <c r="G123" s="16" t="s">
        <v>67</v>
      </c>
      <c r="H123" s="19" t="s">
        <v>159</v>
      </c>
      <c r="I123" s="16" t="s">
        <v>272</v>
      </c>
      <c r="J123" s="16" t="s">
        <v>71</v>
      </c>
      <c r="K123" s="17"/>
      <c r="L123" s="17" t="s">
        <v>161</v>
      </c>
      <c r="M123" s="17"/>
      <c r="N123" s="17"/>
    </row>
    <row r="124" customFormat="false" ht="46.5" hidden="false" customHeight="true" outlineLevel="0" collapsed="false">
      <c r="A124" s="18" t="s">
        <v>551</v>
      </c>
      <c r="B124" s="16" t="s">
        <v>57</v>
      </c>
      <c r="C124" s="16" t="s">
        <v>155</v>
      </c>
      <c r="D124" s="16" t="s">
        <v>552</v>
      </c>
      <c r="E124" s="16" t="s">
        <v>553</v>
      </c>
      <c r="F124" s="16" t="s">
        <v>165</v>
      </c>
      <c r="G124" s="16" t="s">
        <v>67</v>
      </c>
      <c r="H124" s="19"/>
      <c r="I124" s="16" t="s">
        <v>210</v>
      </c>
      <c r="J124" s="16" t="s">
        <v>72</v>
      </c>
      <c r="K124" s="17"/>
      <c r="L124" s="17" t="s">
        <v>161</v>
      </c>
      <c r="M124" s="17"/>
      <c r="N124" s="17"/>
    </row>
    <row r="125" customFormat="false" ht="46.5" hidden="false" customHeight="true" outlineLevel="0" collapsed="false">
      <c r="A125" s="18" t="s">
        <v>554</v>
      </c>
      <c r="B125" s="16" t="s">
        <v>57</v>
      </c>
      <c r="C125" s="16" t="s">
        <v>155</v>
      </c>
      <c r="D125" s="16" t="s">
        <v>555</v>
      </c>
      <c r="E125" s="16" t="s">
        <v>556</v>
      </c>
      <c r="F125" s="16" t="s">
        <v>158</v>
      </c>
      <c r="G125" s="16" t="s">
        <v>67</v>
      </c>
      <c r="H125" s="19"/>
      <c r="I125" s="16" t="s">
        <v>276</v>
      </c>
      <c r="J125" s="16" t="s">
        <v>72</v>
      </c>
      <c r="K125" s="17"/>
      <c r="L125" s="17" t="s">
        <v>161</v>
      </c>
      <c r="M125" s="17"/>
      <c r="N125" s="17"/>
    </row>
    <row r="126" customFormat="false" ht="46.5" hidden="false" customHeight="true" outlineLevel="0" collapsed="false">
      <c r="A126" s="18" t="s">
        <v>557</v>
      </c>
      <c r="B126" s="16" t="s">
        <v>57</v>
      </c>
      <c r="C126" s="16" t="s">
        <v>155</v>
      </c>
      <c r="D126" s="16" t="s">
        <v>558</v>
      </c>
      <c r="E126" s="16" t="s">
        <v>559</v>
      </c>
      <c r="F126" s="16" t="s">
        <v>165</v>
      </c>
      <c r="G126" s="16" t="s">
        <v>67</v>
      </c>
      <c r="H126" s="19" t="s">
        <v>159</v>
      </c>
      <c r="I126" s="16" t="s">
        <v>169</v>
      </c>
      <c r="J126" s="16" t="s">
        <v>72</v>
      </c>
      <c r="K126" s="17"/>
      <c r="L126" s="17" t="s">
        <v>161</v>
      </c>
      <c r="M126" s="17"/>
      <c r="N126" s="17"/>
    </row>
    <row r="127" customFormat="false" ht="46.5" hidden="false" customHeight="true" outlineLevel="0" collapsed="false">
      <c r="A127" s="18" t="s">
        <v>560</v>
      </c>
      <c r="B127" s="16" t="s">
        <v>57</v>
      </c>
      <c r="C127" s="16" t="s">
        <v>155</v>
      </c>
      <c r="D127" s="16" t="s">
        <v>561</v>
      </c>
      <c r="E127" s="16" t="s">
        <v>562</v>
      </c>
      <c r="F127" s="16" t="s">
        <v>158</v>
      </c>
      <c r="G127" s="16" t="s">
        <v>67</v>
      </c>
      <c r="H127" s="19"/>
      <c r="I127" s="16" t="s">
        <v>210</v>
      </c>
      <c r="J127" s="16" t="s">
        <v>72</v>
      </c>
      <c r="K127" s="17"/>
      <c r="L127" s="17" t="s">
        <v>161</v>
      </c>
      <c r="M127" s="17"/>
      <c r="N127" s="17"/>
    </row>
    <row r="128" customFormat="false" ht="33" hidden="false" customHeight="true" outlineLevel="0" collapsed="false">
      <c r="A128" s="18" t="s">
        <v>563</v>
      </c>
      <c r="B128" s="16" t="s">
        <v>57</v>
      </c>
      <c r="C128" s="16" t="s">
        <v>155</v>
      </c>
      <c r="D128" s="16" t="s">
        <v>564</v>
      </c>
      <c r="E128" s="16" t="s">
        <v>565</v>
      </c>
      <c r="F128" s="16" t="s">
        <v>165</v>
      </c>
      <c r="G128" s="16" t="s">
        <v>68</v>
      </c>
      <c r="H128" s="19"/>
      <c r="I128" s="16" t="s">
        <v>272</v>
      </c>
      <c r="J128" s="16" t="s">
        <v>73</v>
      </c>
      <c r="K128" s="17"/>
      <c r="L128" s="17" t="s">
        <v>161</v>
      </c>
      <c r="M128" s="17"/>
      <c r="N128" s="17"/>
    </row>
    <row r="129" customFormat="false" ht="46.5" hidden="false" customHeight="true" outlineLevel="0" collapsed="false">
      <c r="A129" s="18" t="s">
        <v>566</v>
      </c>
      <c r="B129" s="16" t="s">
        <v>57</v>
      </c>
      <c r="C129" s="16" t="s">
        <v>567</v>
      </c>
      <c r="D129" s="16" t="s">
        <v>568</v>
      </c>
      <c r="E129" s="16" t="s">
        <v>569</v>
      </c>
      <c r="F129" s="16" t="s">
        <v>165</v>
      </c>
      <c r="G129" s="16" t="s">
        <v>68</v>
      </c>
      <c r="H129" s="19"/>
      <c r="I129" s="16" t="s">
        <v>272</v>
      </c>
      <c r="J129" s="16" t="s">
        <v>73</v>
      </c>
      <c r="K129" s="17"/>
      <c r="L129" s="17" t="s">
        <v>161</v>
      </c>
      <c r="M129" s="17"/>
      <c r="N129" s="17"/>
    </row>
    <row r="130" customFormat="false" ht="33" hidden="false" customHeight="true" outlineLevel="0" collapsed="false">
      <c r="A130" s="18" t="s">
        <v>570</v>
      </c>
      <c r="B130" s="16" t="s">
        <v>57</v>
      </c>
      <c r="C130" s="16" t="s">
        <v>155</v>
      </c>
      <c r="D130" s="16" t="s">
        <v>571</v>
      </c>
      <c r="E130" s="16" t="s">
        <v>572</v>
      </c>
      <c r="F130" s="16" t="s">
        <v>165</v>
      </c>
      <c r="G130" s="16" t="s">
        <v>67</v>
      </c>
      <c r="H130" s="19"/>
      <c r="I130" s="16" t="s">
        <v>276</v>
      </c>
      <c r="J130" s="16" t="s">
        <v>72</v>
      </c>
      <c r="K130" s="17"/>
      <c r="L130" s="17" t="s">
        <v>161</v>
      </c>
      <c r="M130" s="17"/>
      <c r="N130" s="17"/>
    </row>
    <row r="131" customFormat="false" ht="46.5" hidden="false" customHeight="true" outlineLevel="0" collapsed="false">
      <c r="A131" s="18" t="s">
        <v>573</v>
      </c>
      <c r="B131" s="16" t="s">
        <v>57</v>
      </c>
      <c r="C131" s="16" t="s">
        <v>155</v>
      </c>
      <c r="D131" s="16" t="s">
        <v>574</v>
      </c>
      <c r="E131" s="16" t="s">
        <v>575</v>
      </c>
      <c r="F131" s="16" t="s">
        <v>165</v>
      </c>
      <c r="G131" s="16" t="s">
        <v>67</v>
      </c>
      <c r="H131" s="19"/>
      <c r="I131" s="16" t="s">
        <v>210</v>
      </c>
      <c r="J131" s="16" t="s">
        <v>71</v>
      </c>
      <c r="K131" s="17"/>
      <c r="L131" s="17" t="s">
        <v>161</v>
      </c>
      <c r="M131" s="17"/>
      <c r="N131" s="17"/>
    </row>
    <row r="132" customFormat="false" ht="46.5" hidden="false" customHeight="true" outlineLevel="0" collapsed="false">
      <c r="A132" s="18" t="s">
        <v>576</v>
      </c>
      <c r="B132" s="16" t="s">
        <v>57</v>
      </c>
      <c r="C132" s="16" t="s">
        <v>155</v>
      </c>
      <c r="D132" s="16" t="s">
        <v>577</v>
      </c>
      <c r="E132" s="16" t="s">
        <v>578</v>
      </c>
      <c r="F132" s="16" t="s">
        <v>173</v>
      </c>
      <c r="G132" s="16" t="s">
        <v>67</v>
      </c>
      <c r="H132" s="19"/>
      <c r="I132" s="16" t="s">
        <v>210</v>
      </c>
      <c r="J132" s="16" t="s">
        <v>71</v>
      </c>
      <c r="K132" s="17"/>
      <c r="L132" s="17" t="s">
        <v>161</v>
      </c>
      <c r="M132" s="17"/>
      <c r="N132" s="17"/>
    </row>
    <row r="133" customFormat="false" ht="46.5" hidden="false" customHeight="true" outlineLevel="0" collapsed="false">
      <c r="A133" s="18" t="s">
        <v>579</v>
      </c>
      <c r="B133" s="16" t="s">
        <v>57</v>
      </c>
      <c r="C133" s="16" t="s">
        <v>155</v>
      </c>
      <c r="D133" s="16" t="s">
        <v>580</v>
      </c>
      <c r="E133" s="16" t="s">
        <v>581</v>
      </c>
      <c r="F133" s="16" t="s">
        <v>165</v>
      </c>
      <c r="G133" s="16" t="s">
        <v>68</v>
      </c>
      <c r="H133" s="19"/>
      <c r="I133" s="16" t="s">
        <v>169</v>
      </c>
      <c r="J133" s="16" t="s">
        <v>72</v>
      </c>
      <c r="K133" s="17"/>
      <c r="L133" s="17" t="s">
        <v>161</v>
      </c>
      <c r="M133" s="17"/>
      <c r="N133" s="17"/>
    </row>
    <row r="134" customFormat="false" ht="46.5" hidden="false" customHeight="true" outlineLevel="0" collapsed="false">
      <c r="A134" s="18" t="s">
        <v>582</v>
      </c>
      <c r="B134" s="16" t="s">
        <v>58</v>
      </c>
      <c r="C134" s="16" t="s">
        <v>155</v>
      </c>
      <c r="D134" s="16" t="s">
        <v>583</v>
      </c>
      <c r="E134" s="16" t="s">
        <v>584</v>
      </c>
      <c r="F134" s="16" t="s">
        <v>158</v>
      </c>
      <c r="G134" s="16" t="s">
        <v>67</v>
      </c>
      <c r="H134" s="19" t="s">
        <v>159</v>
      </c>
      <c r="I134" s="16" t="s">
        <v>272</v>
      </c>
      <c r="J134" s="16" t="s">
        <v>72</v>
      </c>
      <c r="K134" s="17"/>
      <c r="L134" s="17" t="s">
        <v>161</v>
      </c>
      <c r="M134" s="17"/>
      <c r="N134" s="17"/>
    </row>
    <row r="135" customFormat="false" ht="46.5" hidden="false" customHeight="true" outlineLevel="0" collapsed="false">
      <c r="A135" s="18" t="s">
        <v>585</v>
      </c>
      <c r="B135" s="16" t="s">
        <v>58</v>
      </c>
      <c r="C135" s="16" t="s">
        <v>155</v>
      </c>
      <c r="D135" s="16" t="s">
        <v>586</v>
      </c>
      <c r="E135" s="16" t="s">
        <v>587</v>
      </c>
      <c r="F135" s="16" t="s">
        <v>214</v>
      </c>
      <c r="G135" s="16" t="s">
        <v>68</v>
      </c>
      <c r="H135" s="19"/>
      <c r="I135" s="16" t="s">
        <v>272</v>
      </c>
      <c r="J135" s="16" t="s">
        <v>73</v>
      </c>
      <c r="K135" s="17"/>
      <c r="L135" s="17" t="s">
        <v>161</v>
      </c>
      <c r="M135" s="17"/>
      <c r="N135" s="17"/>
    </row>
    <row r="136" customFormat="false" ht="33" hidden="false" customHeight="true" outlineLevel="0" collapsed="false">
      <c r="A136" s="18" t="s">
        <v>588</v>
      </c>
      <c r="B136" s="16" t="s">
        <v>58</v>
      </c>
      <c r="C136" s="16" t="s">
        <v>155</v>
      </c>
      <c r="D136" s="16" t="s">
        <v>589</v>
      </c>
      <c r="E136" s="16" t="s">
        <v>590</v>
      </c>
      <c r="F136" s="16" t="s">
        <v>214</v>
      </c>
      <c r="G136" s="16" t="s">
        <v>68</v>
      </c>
      <c r="H136" s="19"/>
      <c r="I136" s="16" t="s">
        <v>272</v>
      </c>
      <c r="J136" s="16" t="s">
        <v>73</v>
      </c>
      <c r="K136" s="17"/>
      <c r="L136" s="17" t="s">
        <v>161</v>
      </c>
      <c r="M136" s="17"/>
      <c r="N136" s="17"/>
    </row>
    <row r="137" customFormat="false" ht="33" hidden="false" customHeight="true" outlineLevel="0" collapsed="false">
      <c r="A137" s="18" t="s">
        <v>591</v>
      </c>
      <c r="B137" s="16" t="s">
        <v>58</v>
      </c>
      <c r="C137" s="16" t="s">
        <v>155</v>
      </c>
      <c r="D137" s="16" t="s">
        <v>592</v>
      </c>
      <c r="E137" s="16" t="s">
        <v>593</v>
      </c>
      <c r="F137" s="16" t="s">
        <v>165</v>
      </c>
      <c r="G137" s="16" t="s">
        <v>68</v>
      </c>
      <c r="H137" s="19"/>
      <c r="I137" s="16" t="s">
        <v>169</v>
      </c>
      <c r="J137" s="16" t="s">
        <v>73</v>
      </c>
      <c r="K137" s="17"/>
      <c r="L137" s="17" t="s">
        <v>161</v>
      </c>
      <c r="M137" s="17"/>
      <c r="N137" s="17"/>
    </row>
    <row r="138" customFormat="false" ht="46.5" hidden="false" customHeight="true" outlineLevel="0" collapsed="false">
      <c r="A138" s="18" t="s">
        <v>594</v>
      </c>
      <c r="B138" s="16" t="s">
        <v>58</v>
      </c>
      <c r="C138" s="16" t="s">
        <v>155</v>
      </c>
      <c r="D138" s="16" t="s">
        <v>595</v>
      </c>
      <c r="E138" s="16" t="s">
        <v>596</v>
      </c>
      <c r="F138" s="16" t="s">
        <v>165</v>
      </c>
      <c r="G138" s="16" t="s">
        <v>67</v>
      </c>
      <c r="H138" s="19" t="s">
        <v>159</v>
      </c>
      <c r="I138" s="16" t="s">
        <v>276</v>
      </c>
      <c r="J138" s="16" t="s">
        <v>72</v>
      </c>
      <c r="K138" s="17"/>
      <c r="L138" s="17" t="s">
        <v>161</v>
      </c>
      <c r="M138" s="17"/>
      <c r="N138" s="17"/>
    </row>
    <row r="139" customFormat="false" ht="46.5" hidden="false" customHeight="true" outlineLevel="0" collapsed="false">
      <c r="A139" s="18" t="s">
        <v>597</v>
      </c>
      <c r="B139" s="16" t="s">
        <v>58</v>
      </c>
      <c r="C139" s="16" t="s">
        <v>598</v>
      </c>
      <c r="D139" s="16" t="s">
        <v>599</v>
      </c>
      <c r="E139" s="16" t="s">
        <v>600</v>
      </c>
      <c r="F139" s="16" t="s">
        <v>165</v>
      </c>
      <c r="G139" s="16" t="s">
        <v>67</v>
      </c>
      <c r="H139" s="19" t="s">
        <v>159</v>
      </c>
      <c r="I139" s="16" t="s">
        <v>272</v>
      </c>
      <c r="J139" s="16" t="s">
        <v>72</v>
      </c>
      <c r="K139" s="17"/>
      <c r="L139" s="17" t="s">
        <v>161</v>
      </c>
      <c r="M139" s="17"/>
      <c r="N139" s="17"/>
    </row>
    <row r="140" customFormat="false" ht="31.5" hidden="false" customHeight="true" outlineLevel="0" collapsed="false">
      <c r="A140" s="18" t="s">
        <v>601</v>
      </c>
      <c r="B140" s="16" t="s">
        <v>58</v>
      </c>
      <c r="C140" s="16" t="s">
        <v>260</v>
      </c>
      <c r="D140" s="16" t="s">
        <v>602</v>
      </c>
      <c r="E140" s="16" t="s">
        <v>603</v>
      </c>
      <c r="F140" s="16" t="s">
        <v>165</v>
      </c>
      <c r="G140" s="16" t="s">
        <v>68</v>
      </c>
      <c r="H140" s="19"/>
      <c r="I140" s="16" t="s">
        <v>272</v>
      </c>
      <c r="J140" s="16" t="s">
        <v>73</v>
      </c>
      <c r="K140" s="17"/>
      <c r="L140" s="17" t="s">
        <v>161</v>
      </c>
      <c r="M140" s="17"/>
      <c r="N140" s="17"/>
    </row>
    <row r="141" customFormat="false" ht="33" hidden="false" customHeight="true" outlineLevel="0" collapsed="false">
      <c r="A141" s="18" t="s">
        <v>604</v>
      </c>
      <c r="B141" s="16" t="s">
        <v>58</v>
      </c>
      <c r="C141" s="16" t="s">
        <v>155</v>
      </c>
      <c r="D141" s="16" t="s">
        <v>605</v>
      </c>
      <c r="E141" s="16" t="s">
        <v>606</v>
      </c>
      <c r="F141" s="16" t="s">
        <v>165</v>
      </c>
      <c r="G141" s="16" t="s">
        <v>68</v>
      </c>
      <c r="H141" s="19"/>
      <c r="I141" s="16" t="s">
        <v>272</v>
      </c>
      <c r="J141" s="16" t="s">
        <v>73</v>
      </c>
      <c r="K141" s="17"/>
      <c r="L141" s="17" t="s">
        <v>161</v>
      </c>
      <c r="M141" s="17"/>
      <c r="N141" s="17"/>
    </row>
    <row r="142" customFormat="false" ht="33" hidden="false" customHeight="true" outlineLevel="0" collapsed="false">
      <c r="A142" s="18" t="s">
        <v>607</v>
      </c>
      <c r="B142" s="16" t="s">
        <v>58</v>
      </c>
      <c r="C142" s="16" t="s">
        <v>155</v>
      </c>
      <c r="D142" s="16" t="s">
        <v>608</v>
      </c>
      <c r="E142" s="16" t="s">
        <v>609</v>
      </c>
      <c r="F142" s="16" t="s">
        <v>165</v>
      </c>
      <c r="G142" s="16" t="s">
        <v>68</v>
      </c>
      <c r="H142" s="19"/>
      <c r="I142" s="16" t="s">
        <v>272</v>
      </c>
      <c r="J142" s="16" t="s">
        <v>74</v>
      </c>
      <c r="K142" s="17"/>
      <c r="L142" s="17" t="s">
        <v>161</v>
      </c>
      <c r="M142" s="17"/>
      <c r="N142" s="17"/>
    </row>
    <row r="143" customFormat="false" ht="33" hidden="false" customHeight="true" outlineLevel="0" collapsed="false">
      <c r="A143" s="18" t="s">
        <v>610</v>
      </c>
      <c r="B143" s="16" t="s">
        <v>58</v>
      </c>
      <c r="C143" s="16" t="s">
        <v>155</v>
      </c>
      <c r="D143" s="16" t="s">
        <v>611</v>
      </c>
      <c r="E143" s="16" t="s">
        <v>612</v>
      </c>
      <c r="F143" s="16" t="s">
        <v>165</v>
      </c>
      <c r="G143" s="16" t="s">
        <v>68</v>
      </c>
      <c r="H143" s="19"/>
      <c r="I143" s="16" t="s">
        <v>272</v>
      </c>
      <c r="J143" s="16" t="s">
        <v>73</v>
      </c>
      <c r="K143" s="17"/>
      <c r="L143" s="17" t="s">
        <v>161</v>
      </c>
      <c r="M143" s="17"/>
      <c r="N143" s="17"/>
    </row>
    <row r="144" customFormat="false" ht="33" hidden="false" customHeight="true" outlineLevel="0" collapsed="false">
      <c r="A144" s="18" t="s">
        <v>613</v>
      </c>
      <c r="B144" s="16" t="s">
        <v>58</v>
      </c>
      <c r="C144" s="16" t="s">
        <v>155</v>
      </c>
      <c r="D144" s="16" t="s">
        <v>614</v>
      </c>
      <c r="E144" s="16" t="s">
        <v>615</v>
      </c>
      <c r="F144" s="16" t="s">
        <v>158</v>
      </c>
      <c r="G144" s="16" t="s">
        <v>68</v>
      </c>
      <c r="H144" s="19" t="s">
        <v>159</v>
      </c>
      <c r="I144" s="16" t="s">
        <v>272</v>
      </c>
      <c r="J144" s="16" t="s">
        <v>72</v>
      </c>
      <c r="K144" s="17"/>
      <c r="L144" s="17" t="s">
        <v>161</v>
      </c>
      <c r="M144" s="17"/>
      <c r="N144" s="17"/>
    </row>
    <row r="145" customFormat="false" ht="46.5" hidden="false" customHeight="true" outlineLevel="0" collapsed="false">
      <c r="A145" s="18" t="s">
        <v>616</v>
      </c>
      <c r="B145" s="16" t="s">
        <v>59</v>
      </c>
      <c r="C145" s="16" t="s">
        <v>155</v>
      </c>
      <c r="D145" s="16" t="s">
        <v>617</v>
      </c>
      <c r="E145" s="16" t="s">
        <v>618</v>
      </c>
      <c r="F145" s="16" t="s">
        <v>158</v>
      </c>
      <c r="G145" s="16" t="s">
        <v>67</v>
      </c>
      <c r="H145" s="19" t="s">
        <v>159</v>
      </c>
      <c r="I145" s="16" t="s">
        <v>276</v>
      </c>
      <c r="J145" s="16" t="s">
        <v>71</v>
      </c>
      <c r="K145" s="17"/>
      <c r="L145" s="17" t="s">
        <v>161</v>
      </c>
      <c r="M145" s="17"/>
      <c r="N145" s="17"/>
    </row>
    <row r="146" customFormat="false" ht="33" hidden="false" customHeight="true" outlineLevel="0" collapsed="false">
      <c r="A146" s="18" t="s">
        <v>619</v>
      </c>
      <c r="B146" s="16" t="s">
        <v>59</v>
      </c>
      <c r="C146" s="16" t="s">
        <v>155</v>
      </c>
      <c r="D146" s="16" t="s">
        <v>620</v>
      </c>
      <c r="E146" s="16" t="s">
        <v>621</v>
      </c>
      <c r="F146" s="16" t="s">
        <v>165</v>
      </c>
      <c r="G146" s="16" t="s">
        <v>67</v>
      </c>
      <c r="H146" s="19"/>
      <c r="I146" s="16" t="s">
        <v>276</v>
      </c>
      <c r="J146" s="16" t="s">
        <v>71</v>
      </c>
      <c r="K146" s="17"/>
      <c r="L146" s="17" t="s">
        <v>161</v>
      </c>
      <c r="M146" s="17"/>
      <c r="N146" s="17"/>
    </row>
    <row r="147" customFormat="false" ht="33" hidden="false" customHeight="true" outlineLevel="0" collapsed="false">
      <c r="A147" s="18" t="s">
        <v>622</v>
      </c>
      <c r="B147" s="16" t="s">
        <v>59</v>
      </c>
      <c r="C147" s="16" t="s">
        <v>155</v>
      </c>
      <c r="D147" s="16" t="s">
        <v>623</v>
      </c>
      <c r="E147" s="16" t="s">
        <v>624</v>
      </c>
      <c r="F147" s="16" t="s">
        <v>158</v>
      </c>
      <c r="G147" s="16" t="s">
        <v>67</v>
      </c>
      <c r="H147" s="19" t="s">
        <v>159</v>
      </c>
      <c r="I147" s="16" t="s">
        <v>276</v>
      </c>
      <c r="J147" s="16" t="s">
        <v>71</v>
      </c>
      <c r="K147" s="17"/>
      <c r="L147" s="17" t="s">
        <v>161</v>
      </c>
      <c r="M147" s="17"/>
      <c r="N147" s="17"/>
    </row>
    <row r="148" customFormat="false" ht="46.5" hidden="false" customHeight="true" outlineLevel="0" collapsed="false">
      <c r="A148" s="18" t="s">
        <v>625</v>
      </c>
      <c r="B148" s="16" t="s">
        <v>59</v>
      </c>
      <c r="C148" s="16" t="s">
        <v>155</v>
      </c>
      <c r="D148" s="16" t="s">
        <v>626</v>
      </c>
      <c r="E148" s="16" t="s">
        <v>627</v>
      </c>
      <c r="F148" s="16" t="s">
        <v>165</v>
      </c>
      <c r="G148" s="16" t="s">
        <v>67</v>
      </c>
      <c r="H148" s="19" t="s">
        <v>159</v>
      </c>
      <c r="I148" s="16" t="s">
        <v>276</v>
      </c>
      <c r="J148" s="16" t="s">
        <v>72</v>
      </c>
      <c r="K148" s="17"/>
      <c r="L148" s="17" t="s">
        <v>161</v>
      </c>
      <c r="M148" s="17"/>
      <c r="N148" s="17"/>
    </row>
    <row r="149" customFormat="false" ht="33" hidden="false" customHeight="true" outlineLevel="0" collapsed="false">
      <c r="A149" s="18" t="s">
        <v>628</v>
      </c>
      <c r="B149" s="16" t="s">
        <v>59</v>
      </c>
      <c r="C149" s="16" t="s">
        <v>155</v>
      </c>
      <c r="D149" s="16" t="s">
        <v>629</v>
      </c>
      <c r="E149" s="16" t="s">
        <v>630</v>
      </c>
      <c r="F149" s="16" t="s">
        <v>165</v>
      </c>
      <c r="G149" s="16" t="s">
        <v>67</v>
      </c>
      <c r="H149" s="19"/>
      <c r="I149" s="16" t="s">
        <v>276</v>
      </c>
      <c r="J149" s="16" t="s">
        <v>72</v>
      </c>
      <c r="K149" s="17"/>
      <c r="L149" s="17" t="s">
        <v>161</v>
      </c>
      <c r="M149" s="17"/>
      <c r="N149" s="17"/>
    </row>
    <row r="150" customFormat="false" ht="33" hidden="false" customHeight="true" outlineLevel="0" collapsed="false">
      <c r="A150" s="18" t="s">
        <v>631</v>
      </c>
      <c r="B150" s="16" t="s">
        <v>59</v>
      </c>
      <c r="C150" s="16" t="s">
        <v>155</v>
      </c>
      <c r="D150" s="16" t="s">
        <v>632</v>
      </c>
      <c r="E150" s="16" t="s">
        <v>633</v>
      </c>
      <c r="F150" s="16" t="s">
        <v>165</v>
      </c>
      <c r="G150" s="16" t="s">
        <v>67</v>
      </c>
      <c r="H150" s="19"/>
      <c r="I150" s="16" t="s">
        <v>254</v>
      </c>
      <c r="J150" s="16" t="s">
        <v>72</v>
      </c>
      <c r="K150" s="17"/>
      <c r="L150" s="17" t="s">
        <v>161</v>
      </c>
      <c r="M150" s="17"/>
      <c r="N150" s="17"/>
    </row>
    <row r="151" customFormat="false" ht="33" hidden="false" customHeight="true" outlineLevel="0" collapsed="false">
      <c r="A151" s="18" t="s">
        <v>634</v>
      </c>
      <c r="B151" s="16" t="s">
        <v>59</v>
      </c>
      <c r="C151" s="16" t="s">
        <v>155</v>
      </c>
      <c r="D151" s="16" t="s">
        <v>635</v>
      </c>
      <c r="E151" s="16" t="s">
        <v>636</v>
      </c>
      <c r="F151" s="16" t="s">
        <v>165</v>
      </c>
      <c r="G151" s="16" t="s">
        <v>67</v>
      </c>
      <c r="H151" s="19"/>
      <c r="I151" s="16" t="s">
        <v>254</v>
      </c>
      <c r="J151" s="16" t="s">
        <v>72</v>
      </c>
      <c r="K151" s="17"/>
      <c r="L151" s="17" t="s">
        <v>161</v>
      </c>
      <c r="M151" s="17"/>
      <c r="N151" s="17"/>
    </row>
    <row r="152" customFormat="false" ht="46.5" hidden="false" customHeight="true" outlineLevel="0" collapsed="false">
      <c r="A152" s="18" t="s">
        <v>637</v>
      </c>
      <c r="B152" s="16" t="s">
        <v>59</v>
      </c>
      <c r="C152" s="16" t="s">
        <v>155</v>
      </c>
      <c r="D152" s="16" t="s">
        <v>638</v>
      </c>
      <c r="E152" s="16" t="s">
        <v>639</v>
      </c>
      <c r="F152" s="16" t="s">
        <v>165</v>
      </c>
      <c r="G152" s="16" t="s">
        <v>67</v>
      </c>
      <c r="H152" s="19" t="s">
        <v>159</v>
      </c>
      <c r="I152" s="16" t="s">
        <v>254</v>
      </c>
      <c r="J152" s="16" t="s">
        <v>71</v>
      </c>
      <c r="K152" s="17"/>
      <c r="L152" s="17" t="s">
        <v>161</v>
      </c>
      <c r="M152" s="17"/>
      <c r="N152" s="17"/>
    </row>
    <row r="153" customFormat="false" ht="33" hidden="false" customHeight="true" outlineLevel="0" collapsed="false">
      <c r="A153" s="18" t="s">
        <v>640</v>
      </c>
      <c r="B153" s="16" t="s">
        <v>59</v>
      </c>
      <c r="C153" s="16" t="s">
        <v>155</v>
      </c>
      <c r="D153" s="16" t="s">
        <v>641</v>
      </c>
      <c r="E153" s="16" t="s">
        <v>642</v>
      </c>
      <c r="F153" s="16" t="s">
        <v>165</v>
      </c>
      <c r="G153" s="16" t="s">
        <v>68</v>
      </c>
      <c r="H153" s="19"/>
      <c r="I153" s="16" t="s">
        <v>276</v>
      </c>
      <c r="J153" s="16" t="s">
        <v>73</v>
      </c>
      <c r="K153" s="17"/>
      <c r="L153" s="17" t="s">
        <v>161</v>
      </c>
      <c r="M153" s="17"/>
      <c r="N153" s="17"/>
    </row>
    <row r="154" customFormat="false" ht="46.5" hidden="false" customHeight="true" outlineLevel="0" collapsed="false">
      <c r="A154" s="18" t="s">
        <v>643</v>
      </c>
      <c r="B154" s="16" t="s">
        <v>59</v>
      </c>
      <c r="C154" s="16" t="s">
        <v>155</v>
      </c>
      <c r="D154" s="16" t="s">
        <v>644</v>
      </c>
      <c r="E154" s="16" t="s">
        <v>645</v>
      </c>
      <c r="F154" s="16" t="s">
        <v>165</v>
      </c>
      <c r="G154" s="16" t="s">
        <v>67</v>
      </c>
      <c r="H154" s="19"/>
      <c r="I154" s="16" t="s">
        <v>276</v>
      </c>
      <c r="J154" s="16" t="s">
        <v>72</v>
      </c>
      <c r="K154" s="17"/>
      <c r="L154" s="17" t="s">
        <v>161</v>
      </c>
      <c r="M154" s="17"/>
      <c r="N154" s="17"/>
    </row>
    <row r="155" customFormat="false" ht="33" hidden="false" customHeight="true" outlineLevel="0" collapsed="false">
      <c r="A155" s="18" t="s">
        <v>646</v>
      </c>
      <c r="B155" s="16" t="s">
        <v>59</v>
      </c>
      <c r="C155" s="16" t="s">
        <v>155</v>
      </c>
      <c r="D155" s="16" t="s">
        <v>647</v>
      </c>
      <c r="E155" s="16" t="s">
        <v>648</v>
      </c>
      <c r="F155" s="16" t="s">
        <v>165</v>
      </c>
      <c r="G155" s="16" t="s">
        <v>68</v>
      </c>
      <c r="H155" s="19"/>
      <c r="I155" s="16" t="s">
        <v>254</v>
      </c>
      <c r="J155" s="16" t="s">
        <v>73</v>
      </c>
      <c r="K155" s="17"/>
      <c r="L155" s="17" t="s">
        <v>161</v>
      </c>
      <c r="M155" s="17"/>
      <c r="N155" s="17"/>
    </row>
    <row r="156" customFormat="false" ht="60" hidden="false" customHeight="true" outlineLevel="0" collapsed="false">
      <c r="A156" s="18" t="s">
        <v>649</v>
      </c>
      <c r="B156" s="16" t="s">
        <v>59</v>
      </c>
      <c r="C156" s="16" t="s">
        <v>242</v>
      </c>
      <c r="D156" s="16" t="s">
        <v>650</v>
      </c>
      <c r="E156" s="16" t="s">
        <v>651</v>
      </c>
      <c r="F156" s="16" t="s">
        <v>165</v>
      </c>
      <c r="G156" s="16" t="s">
        <v>67</v>
      </c>
      <c r="H156" s="19"/>
      <c r="I156" s="16" t="s">
        <v>276</v>
      </c>
      <c r="J156" s="16" t="s">
        <v>72</v>
      </c>
      <c r="K156" s="17"/>
      <c r="L156" s="17" t="s">
        <v>161</v>
      </c>
      <c r="M156" s="17"/>
      <c r="N156" s="17"/>
    </row>
    <row r="157" customFormat="false" ht="73.5" hidden="false" customHeight="true" outlineLevel="0" collapsed="false">
      <c r="A157" s="18" t="s">
        <v>652</v>
      </c>
      <c r="B157" s="16" t="s">
        <v>60</v>
      </c>
      <c r="C157" s="16" t="s">
        <v>155</v>
      </c>
      <c r="D157" s="16" t="s">
        <v>653</v>
      </c>
      <c r="E157" s="16" t="s">
        <v>654</v>
      </c>
      <c r="F157" s="16" t="s">
        <v>165</v>
      </c>
      <c r="G157" s="16" t="s">
        <v>67</v>
      </c>
      <c r="H157" s="19" t="s">
        <v>159</v>
      </c>
      <c r="I157" s="16" t="s">
        <v>210</v>
      </c>
      <c r="J157" s="16" t="s">
        <v>71</v>
      </c>
      <c r="K157" s="17"/>
      <c r="L157" s="17" t="s">
        <v>161</v>
      </c>
      <c r="M157" s="17"/>
      <c r="N157" s="17"/>
    </row>
    <row r="158" customFormat="false" ht="46.5" hidden="false" customHeight="true" outlineLevel="0" collapsed="false">
      <c r="A158" s="18" t="s">
        <v>655</v>
      </c>
      <c r="B158" s="16" t="s">
        <v>60</v>
      </c>
      <c r="C158" s="16" t="s">
        <v>155</v>
      </c>
      <c r="D158" s="16" t="s">
        <v>656</v>
      </c>
      <c r="E158" s="16" t="s">
        <v>657</v>
      </c>
      <c r="F158" s="16" t="s">
        <v>158</v>
      </c>
      <c r="G158" s="16" t="s">
        <v>67</v>
      </c>
      <c r="H158" s="19" t="s">
        <v>159</v>
      </c>
      <c r="I158" s="16" t="s">
        <v>169</v>
      </c>
      <c r="J158" s="16" t="s">
        <v>72</v>
      </c>
      <c r="K158" s="17"/>
      <c r="L158" s="17" t="s">
        <v>161</v>
      </c>
      <c r="M158" s="17"/>
      <c r="N158" s="17"/>
    </row>
    <row r="159" customFormat="false" ht="33" hidden="false" customHeight="true" outlineLevel="0" collapsed="false">
      <c r="A159" s="18" t="s">
        <v>658</v>
      </c>
      <c r="B159" s="16" t="s">
        <v>60</v>
      </c>
      <c r="C159" s="16" t="s">
        <v>155</v>
      </c>
      <c r="D159" s="16" t="s">
        <v>659</v>
      </c>
      <c r="E159" s="16" t="s">
        <v>660</v>
      </c>
      <c r="F159" s="16" t="s">
        <v>165</v>
      </c>
      <c r="G159" s="16" t="s">
        <v>67</v>
      </c>
      <c r="H159" s="19" t="s">
        <v>159</v>
      </c>
      <c r="I159" s="16" t="s">
        <v>169</v>
      </c>
      <c r="J159" s="16" t="s">
        <v>72</v>
      </c>
      <c r="K159" s="17"/>
      <c r="L159" s="17" t="s">
        <v>161</v>
      </c>
      <c r="M159" s="17"/>
      <c r="N159" s="17"/>
    </row>
    <row r="160" customFormat="false" ht="46.5" hidden="false" customHeight="true" outlineLevel="0" collapsed="false">
      <c r="A160" s="18" t="s">
        <v>661</v>
      </c>
      <c r="B160" s="16" t="s">
        <v>60</v>
      </c>
      <c r="C160" s="16" t="s">
        <v>155</v>
      </c>
      <c r="D160" s="16" t="s">
        <v>662</v>
      </c>
      <c r="E160" s="16" t="s">
        <v>663</v>
      </c>
      <c r="F160" s="16" t="s">
        <v>165</v>
      </c>
      <c r="G160" s="16" t="s">
        <v>67</v>
      </c>
      <c r="H160" s="19"/>
      <c r="I160" s="16" t="s">
        <v>254</v>
      </c>
      <c r="J160" s="16" t="s">
        <v>72</v>
      </c>
      <c r="K160" s="17"/>
      <c r="L160" s="17" t="s">
        <v>161</v>
      </c>
      <c r="M160" s="17"/>
      <c r="N160" s="17"/>
    </row>
    <row r="161" customFormat="false" ht="33" hidden="false" customHeight="true" outlineLevel="0" collapsed="false">
      <c r="A161" s="18" t="s">
        <v>664</v>
      </c>
      <c r="B161" s="16" t="s">
        <v>60</v>
      </c>
      <c r="C161" s="16" t="s">
        <v>155</v>
      </c>
      <c r="D161" s="16" t="s">
        <v>665</v>
      </c>
      <c r="E161" s="16" t="s">
        <v>666</v>
      </c>
      <c r="F161" s="16" t="s">
        <v>165</v>
      </c>
      <c r="G161" s="16" t="s">
        <v>68</v>
      </c>
      <c r="H161" s="19"/>
      <c r="I161" s="16" t="s">
        <v>196</v>
      </c>
      <c r="J161" s="16" t="s">
        <v>73</v>
      </c>
      <c r="K161" s="17"/>
      <c r="L161" s="17" t="s">
        <v>161</v>
      </c>
      <c r="M161" s="17"/>
      <c r="N161" s="17"/>
    </row>
    <row r="162" customFormat="false" ht="33" hidden="false" customHeight="true" outlineLevel="0" collapsed="false">
      <c r="A162" s="18" t="s">
        <v>667</v>
      </c>
      <c r="B162" s="16" t="s">
        <v>60</v>
      </c>
      <c r="C162" s="16" t="s">
        <v>155</v>
      </c>
      <c r="D162" s="16" t="s">
        <v>668</v>
      </c>
      <c r="E162" s="16" t="s">
        <v>669</v>
      </c>
      <c r="F162" s="16" t="s">
        <v>165</v>
      </c>
      <c r="G162" s="16" t="s">
        <v>67</v>
      </c>
      <c r="H162" s="19" t="s">
        <v>159</v>
      </c>
      <c r="I162" s="16" t="s">
        <v>160</v>
      </c>
      <c r="J162" s="16" t="s">
        <v>71</v>
      </c>
      <c r="K162" s="17"/>
      <c r="L162" s="17" t="s">
        <v>161</v>
      </c>
      <c r="M162" s="17"/>
      <c r="N162" s="17"/>
    </row>
    <row r="163" customFormat="false" ht="33" hidden="false" customHeight="true" outlineLevel="0" collapsed="false">
      <c r="A163" s="18" t="s">
        <v>670</v>
      </c>
      <c r="B163" s="16" t="s">
        <v>60</v>
      </c>
      <c r="C163" s="16" t="s">
        <v>155</v>
      </c>
      <c r="D163" s="16" t="s">
        <v>671</v>
      </c>
      <c r="E163" s="16" t="s">
        <v>672</v>
      </c>
      <c r="F163" s="16" t="s">
        <v>165</v>
      </c>
      <c r="G163" s="16" t="s">
        <v>68</v>
      </c>
      <c r="H163" s="19"/>
      <c r="I163" s="16" t="s">
        <v>169</v>
      </c>
      <c r="J163" s="16" t="s">
        <v>73</v>
      </c>
      <c r="K163" s="17"/>
      <c r="L163" s="17" t="s">
        <v>161</v>
      </c>
      <c r="M163" s="17"/>
      <c r="N163" s="17"/>
    </row>
    <row r="164" customFormat="false" ht="33" hidden="false" customHeight="true" outlineLevel="0" collapsed="false">
      <c r="A164" s="18" t="s">
        <v>673</v>
      </c>
      <c r="B164" s="16" t="s">
        <v>60</v>
      </c>
      <c r="C164" s="16" t="s">
        <v>155</v>
      </c>
      <c r="D164" s="16" t="s">
        <v>674</v>
      </c>
      <c r="E164" s="16" t="s">
        <v>675</v>
      </c>
      <c r="F164" s="16" t="s">
        <v>165</v>
      </c>
      <c r="G164" s="16" t="s">
        <v>68</v>
      </c>
      <c r="H164" s="19"/>
      <c r="I164" s="16" t="s">
        <v>254</v>
      </c>
      <c r="J164" s="16" t="s">
        <v>74</v>
      </c>
      <c r="K164" s="17"/>
      <c r="L164" s="17" t="s">
        <v>161</v>
      </c>
      <c r="M164" s="17"/>
      <c r="N164" s="17"/>
    </row>
    <row r="165" customFormat="false" ht="33" hidden="false" customHeight="true" outlineLevel="0" collapsed="false">
      <c r="A165" s="18" t="s">
        <v>676</v>
      </c>
      <c r="B165" s="16" t="s">
        <v>61</v>
      </c>
      <c r="C165" s="16" t="s">
        <v>155</v>
      </c>
      <c r="D165" s="16" t="s">
        <v>677</v>
      </c>
      <c r="E165" s="16" t="s">
        <v>678</v>
      </c>
      <c r="F165" s="16" t="s">
        <v>165</v>
      </c>
      <c r="G165" s="16" t="s">
        <v>67</v>
      </c>
      <c r="H165" s="19" t="s">
        <v>159</v>
      </c>
      <c r="I165" s="16" t="s">
        <v>293</v>
      </c>
      <c r="J165" s="16" t="s">
        <v>72</v>
      </c>
      <c r="K165" s="17"/>
      <c r="L165" s="17" t="s">
        <v>161</v>
      </c>
      <c r="M165" s="17"/>
      <c r="N165" s="17"/>
    </row>
    <row r="166" customFormat="false" ht="33" hidden="false" customHeight="true" outlineLevel="0" collapsed="false">
      <c r="A166" s="18" t="s">
        <v>679</v>
      </c>
      <c r="B166" s="16" t="s">
        <v>61</v>
      </c>
      <c r="C166" s="16" t="s">
        <v>155</v>
      </c>
      <c r="D166" s="16" t="s">
        <v>680</v>
      </c>
      <c r="E166" s="16" t="s">
        <v>681</v>
      </c>
      <c r="F166" s="16" t="s">
        <v>165</v>
      </c>
      <c r="G166" s="16" t="s">
        <v>67</v>
      </c>
      <c r="H166" s="19" t="s">
        <v>159</v>
      </c>
      <c r="I166" s="16" t="s">
        <v>293</v>
      </c>
      <c r="J166" s="16" t="s">
        <v>72</v>
      </c>
      <c r="K166" s="17"/>
      <c r="L166" s="17" t="s">
        <v>161</v>
      </c>
      <c r="M166" s="17"/>
      <c r="N166" s="17"/>
    </row>
    <row r="167" customFormat="false" ht="33" hidden="false" customHeight="true" outlineLevel="0" collapsed="false">
      <c r="A167" s="18" t="s">
        <v>682</v>
      </c>
      <c r="B167" s="16" t="s">
        <v>61</v>
      </c>
      <c r="C167" s="16" t="s">
        <v>155</v>
      </c>
      <c r="D167" s="16" t="s">
        <v>683</v>
      </c>
      <c r="E167" s="16" t="s">
        <v>684</v>
      </c>
      <c r="F167" s="16" t="s">
        <v>165</v>
      </c>
      <c r="G167" s="16" t="s">
        <v>67</v>
      </c>
      <c r="H167" s="19"/>
      <c r="I167" s="16" t="s">
        <v>293</v>
      </c>
      <c r="J167" s="16" t="s">
        <v>72</v>
      </c>
      <c r="K167" s="17"/>
      <c r="L167" s="17" t="s">
        <v>161</v>
      </c>
      <c r="M167" s="17"/>
      <c r="N167" s="17"/>
    </row>
    <row r="168" customFormat="false" ht="33" hidden="false" customHeight="true" outlineLevel="0" collapsed="false">
      <c r="A168" s="18" t="s">
        <v>685</v>
      </c>
      <c r="B168" s="16" t="s">
        <v>61</v>
      </c>
      <c r="C168" s="16" t="s">
        <v>155</v>
      </c>
      <c r="D168" s="16" t="s">
        <v>686</v>
      </c>
      <c r="E168" s="16" t="s">
        <v>687</v>
      </c>
      <c r="F168" s="16" t="s">
        <v>165</v>
      </c>
      <c r="G168" s="16" t="s">
        <v>68</v>
      </c>
      <c r="H168" s="19"/>
      <c r="I168" s="16" t="s">
        <v>293</v>
      </c>
      <c r="J168" s="16" t="s">
        <v>73</v>
      </c>
      <c r="K168" s="17"/>
      <c r="L168" s="17" t="s">
        <v>161</v>
      </c>
      <c r="M168" s="17"/>
      <c r="N168" s="17"/>
    </row>
    <row r="169" customFormat="false" ht="33" hidden="false" customHeight="true" outlineLevel="0" collapsed="false">
      <c r="A169" s="18" t="s">
        <v>688</v>
      </c>
      <c r="B169" s="16" t="s">
        <v>61</v>
      </c>
      <c r="C169" s="16" t="s">
        <v>287</v>
      </c>
      <c r="D169" s="16" t="s">
        <v>689</v>
      </c>
      <c r="E169" s="16" t="s">
        <v>690</v>
      </c>
      <c r="F169" s="16" t="s">
        <v>165</v>
      </c>
      <c r="G169" s="16" t="s">
        <v>68</v>
      </c>
      <c r="H169" s="19"/>
      <c r="I169" s="16" t="s">
        <v>293</v>
      </c>
      <c r="J169" s="16" t="s">
        <v>73</v>
      </c>
      <c r="K169" s="17"/>
      <c r="L169" s="17" t="s">
        <v>161</v>
      </c>
      <c r="M169" s="17"/>
      <c r="N169" s="17"/>
    </row>
    <row r="170" customFormat="false" ht="33" hidden="false" customHeight="true" outlineLevel="0" collapsed="false">
      <c r="A170" s="18" t="s">
        <v>691</v>
      </c>
      <c r="B170" s="16" t="s">
        <v>61</v>
      </c>
      <c r="C170" s="16" t="s">
        <v>155</v>
      </c>
      <c r="D170" s="16" t="s">
        <v>692</v>
      </c>
      <c r="E170" s="16" t="s">
        <v>693</v>
      </c>
      <c r="F170" s="16" t="s">
        <v>165</v>
      </c>
      <c r="G170" s="16" t="s">
        <v>67</v>
      </c>
      <c r="H170" s="19" t="s">
        <v>159</v>
      </c>
      <c r="I170" s="16" t="s">
        <v>293</v>
      </c>
      <c r="J170" s="16" t="s">
        <v>73</v>
      </c>
      <c r="K170" s="17"/>
      <c r="L170" s="17" t="s">
        <v>161</v>
      </c>
      <c r="M170" s="17"/>
      <c r="N170" s="17"/>
    </row>
    <row r="171" customFormat="false" ht="33" hidden="false" customHeight="true" outlineLevel="0" collapsed="false">
      <c r="A171" s="18" t="s">
        <v>694</v>
      </c>
      <c r="B171" s="16" t="s">
        <v>61</v>
      </c>
      <c r="C171" s="16" t="s">
        <v>155</v>
      </c>
      <c r="D171" s="16" t="s">
        <v>695</v>
      </c>
      <c r="E171" s="16" t="s">
        <v>696</v>
      </c>
      <c r="F171" s="16" t="s">
        <v>165</v>
      </c>
      <c r="G171" s="16" t="s">
        <v>68</v>
      </c>
      <c r="H171" s="19"/>
      <c r="I171" s="16" t="s">
        <v>169</v>
      </c>
      <c r="J171" s="16" t="s">
        <v>72</v>
      </c>
      <c r="K171" s="17"/>
      <c r="L171" s="17" t="s">
        <v>161</v>
      </c>
      <c r="M171" s="17"/>
      <c r="N171" s="17"/>
    </row>
    <row r="172" customFormat="false" ht="33" hidden="false" customHeight="true" outlineLevel="0" collapsed="false">
      <c r="A172" s="18" t="s">
        <v>697</v>
      </c>
      <c r="B172" s="16" t="s">
        <v>61</v>
      </c>
      <c r="C172" s="16" t="s">
        <v>155</v>
      </c>
      <c r="D172" s="16" t="s">
        <v>698</v>
      </c>
      <c r="E172" s="16" t="s">
        <v>699</v>
      </c>
      <c r="F172" s="16" t="s">
        <v>158</v>
      </c>
      <c r="G172" s="16" t="s">
        <v>68</v>
      </c>
      <c r="H172" s="19"/>
      <c r="I172" s="16" t="s">
        <v>169</v>
      </c>
      <c r="J172" s="16" t="s">
        <v>73</v>
      </c>
      <c r="K172" s="17"/>
      <c r="L172" s="17" t="s">
        <v>161</v>
      </c>
      <c r="M172" s="17"/>
      <c r="N172" s="17"/>
    </row>
    <row r="173" customFormat="false" ht="46.5" hidden="false" customHeight="true" outlineLevel="0" collapsed="false">
      <c r="A173" s="18" t="s">
        <v>700</v>
      </c>
      <c r="B173" s="16" t="s">
        <v>61</v>
      </c>
      <c r="C173" s="16" t="s">
        <v>155</v>
      </c>
      <c r="D173" s="16" t="s">
        <v>701</v>
      </c>
      <c r="E173" s="16" t="s">
        <v>702</v>
      </c>
      <c r="F173" s="16" t="s">
        <v>165</v>
      </c>
      <c r="G173" s="16" t="s">
        <v>67</v>
      </c>
      <c r="H173" s="19" t="s">
        <v>159</v>
      </c>
      <c r="I173" s="16" t="s">
        <v>293</v>
      </c>
      <c r="J173" s="16" t="s">
        <v>72</v>
      </c>
      <c r="K173" s="17"/>
      <c r="L173" s="17" t="s">
        <v>161</v>
      </c>
      <c r="M173" s="17"/>
      <c r="N173" s="17"/>
    </row>
    <row r="174" customFormat="false" ht="33" hidden="false" customHeight="true" outlineLevel="0" collapsed="false">
      <c r="A174" s="18" t="s">
        <v>703</v>
      </c>
      <c r="B174" s="16" t="s">
        <v>61</v>
      </c>
      <c r="C174" s="16" t="s">
        <v>155</v>
      </c>
      <c r="D174" s="16" t="s">
        <v>704</v>
      </c>
      <c r="E174" s="16" t="s">
        <v>705</v>
      </c>
      <c r="F174" s="16" t="s">
        <v>165</v>
      </c>
      <c r="G174" s="16" t="s">
        <v>68</v>
      </c>
      <c r="H174" s="19"/>
      <c r="I174" s="16" t="s">
        <v>293</v>
      </c>
      <c r="J174" s="16" t="s">
        <v>73</v>
      </c>
      <c r="K174" s="17"/>
      <c r="L174" s="17" t="s">
        <v>161</v>
      </c>
      <c r="M174" s="17"/>
      <c r="N174" s="17"/>
    </row>
    <row r="175" customFormat="false" ht="60" hidden="false" customHeight="true" outlineLevel="0" collapsed="false">
      <c r="A175" s="18" t="s">
        <v>706</v>
      </c>
      <c r="B175" s="16" t="s">
        <v>62</v>
      </c>
      <c r="C175" s="16" t="s">
        <v>155</v>
      </c>
      <c r="D175" s="16" t="s">
        <v>707</v>
      </c>
      <c r="E175" s="16" t="s">
        <v>708</v>
      </c>
      <c r="F175" s="16" t="s">
        <v>158</v>
      </c>
      <c r="G175" s="16" t="s">
        <v>67</v>
      </c>
      <c r="H175" s="19" t="s">
        <v>159</v>
      </c>
      <c r="I175" s="16" t="s">
        <v>183</v>
      </c>
      <c r="J175" s="16" t="s">
        <v>71</v>
      </c>
      <c r="K175" s="17"/>
      <c r="L175" s="17" t="s">
        <v>161</v>
      </c>
      <c r="M175" s="17"/>
      <c r="N175" s="17"/>
    </row>
    <row r="176" customFormat="false" ht="46.5" hidden="false" customHeight="true" outlineLevel="0" collapsed="false">
      <c r="A176" s="18" t="s">
        <v>709</v>
      </c>
      <c r="B176" s="16" t="s">
        <v>62</v>
      </c>
      <c r="C176" s="16" t="s">
        <v>155</v>
      </c>
      <c r="D176" s="16" t="s">
        <v>710</v>
      </c>
      <c r="E176" s="16" t="s">
        <v>711</v>
      </c>
      <c r="F176" s="16" t="s">
        <v>158</v>
      </c>
      <c r="G176" s="16" t="s">
        <v>67</v>
      </c>
      <c r="H176" s="19"/>
      <c r="I176" s="16" t="s">
        <v>210</v>
      </c>
      <c r="J176" s="16" t="s">
        <v>72</v>
      </c>
      <c r="K176" s="17"/>
      <c r="L176" s="17" t="s">
        <v>161</v>
      </c>
      <c r="M176" s="17"/>
      <c r="N176" s="17"/>
    </row>
    <row r="177" customFormat="false" ht="33" hidden="false" customHeight="true" outlineLevel="0" collapsed="false">
      <c r="A177" s="18" t="s">
        <v>712</v>
      </c>
      <c r="B177" s="16" t="s">
        <v>62</v>
      </c>
      <c r="C177" s="16" t="s">
        <v>155</v>
      </c>
      <c r="D177" s="16" t="s">
        <v>713</v>
      </c>
      <c r="E177" s="16" t="s">
        <v>714</v>
      </c>
      <c r="F177" s="16" t="s">
        <v>165</v>
      </c>
      <c r="G177" s="16" t="s">
        <v>67</v>
      </c>
      <c r="H177" s="19" t="s">
        <v>159</v>
      </c>
      <c r="I177" s="16" t="s">
        <v>210</v>
      </c>
      <c r="J177" s="16" t="s">
        <v>71</v>
      </c>
      <c r="K177" s="17"/>
      <c r="L177" s="17" t="s">
        <v>161</v>
      </c>
      <c r="M177" s="17"/>
      <c r="N177" s="17"/>
    </row>
    <row r="178" customFormat="false" ht="46.5" hidden="false" customHeight="true" outlineLevel="0" collapsed="false">
      <c r="A178" s="18" t="s">
        <v>715</v>
      </c>
      <c r="B178" s="16" t="s">
        <v>62</v>
      </c>
      <c r="C178" s="16" t="s">
        <v>155</v>
      </c>
      <c r="D178" s="16" t="s">
        <v>716</v>
      </c>
      <c r="E178" s="16" t="s">
        <v>717</v>
      </c>
      <c r="F178" s="16" t="s">
        <v>165</v>
      </c>
      <c r="G178" s="16" t="s">
        <v>67</v>
      </c>
      <c r="H178" s="19" t="s">
        <v>159</v>
      </c>
      <c r="I178" s="16" t="s">
        <v>210</v>
      </c>
      <c r="J178" s="16" t="s">
        <v>71</v>
      </c>
      <c r="K178" s="17"/>
      <c r="L178" s="17" t="s">
        <v>161</v>
      </c>
      <c r="M178" s="17"/>
      <c r="N178" s="17"/>
    </row>
    <row r="179" customFormat="false" ht="33" hidden="false" customHeight="true" outlineLevel="0" collapsed="false">
      <c r="A179" s="18" t="s">
        <v>718</v>
      </c>
      <c r="B179" s="16" t="s">
        <v>62</v>
      </c>
      <c r="C179" s="16" t="s">
        <v>155</v>
      </c>
      <c r="D179" s="16" t="s">
        <v>719</v>
      </c>
      <c r="E179" s="16" t="s">
        <v>720</v>
      </c>
      <c r="F179" s="16" t="s">
        <v>165</v>
      </c>
      <c r="G179" s="16" t="s">
        <v>68</v>
      </c>
      <c r="H179" s="19"/>
      <c r="I179" s="16" t="s">
        <v>210</v>
      </c>
      <c r="J179" s="16" t="s">
        <v>73</v>
      </c>
      <c r="K179" s="17"/>
      <c r="L179" s="17" t="s">
        <v>161</v>
      </c>
      <c r="M179" s="17"/>
      <c r="N179" s="17"/>
    </row>
    <row r="180" customFormat="false" ht="33" hidden="false" customHeight="true" outlineLevel="0" collapsed="false">
      <c r="A180" s="18" t="s">
        <v>721</v>
      </c>
      <c r="B180" s="16" t="s">
        <v>62</v>
      </c>
      <c r="C180" s="16" t="s">
        <v>155</v>
      </c>
      <c r="D180" s="16" t="s">
        <v>722</v>
      </c>
      <c r="E180" s="16" t="s">
        <v>723</v>
      </c>
      <c r="F180" s="16" t="s">
        <v>165</v>
      </c>
      <c r="G180" s="16" t="s">
        <v>68</v>
      </c>
      <c r="H180" s="19"/>
      <c r="I180" s="16" t="s">
        <v>183</v>
      </c>
      <c r="J180" s="16" t="s">
        <v>72</v>
      </c>
      <c r="K180" s="17"/>
      <c r="L180" s="17" t="s">
        <v>161</v>
      </c>
      <c r="M180" s="17"/>
      <c r="N180" s="17"/>
    </row>
    <row r="181" customFormat="false" ht="33" hidden="false" customHeight="true" outlineLevel="0" collapsed="false">
      <c r="A181" s="18" t="s">
        <v>724</v>
      </c>
      <c r="B181" s="16" t="s">
        <v>62</v>
      </c>
      <c r="C181" s="16" t="s">
        <v>155</v>
      </c>
      <c r="D181" s="16" t="s">
        <v>725</v>
      </c>
      <c r="E181" s="16" t="s">
        <v>726</v>
      </c>
      <c r="F181" s="16" t="s">
        <v>165</v>
      </c>
      <c r="G181" s="16" t="s">
        <v>67</v>
      </c>
      <c r="H181" s="19"/>
      <c r="I181" s="16" t="s">
        <v>183</v>
      </c>
      <c r="J181" s="16" t="s">
        <v>72</v>
      </c>
      <c r="K181" s="17"/>
      <c r="L181" s="17" t="s">
        <v>161</v>
      </c>
      <c r="M181" s="17"/>
      <c r="N181" s="17"/>
    </row>
    <row r="182" customFormat="false" ht="33" hidden="false" customHeight="true" outlineLevel="0" collapsed="false">
      <c r="A182" s="18" t="s">
        <v>727</v>
      </c>
      <c r="B182" s="16" t="s">
        <v>62</v>
      </c>
      <c r="C182" s="16" t="s">
        <v>242</v>
      </c>
      <c r="D182" s="16" t="s">
        <v>728</v>
      </c>
      <c r="E182" s="16" t="s">
        <v>729</v>
      </c>
      <c r="F182" s="16" t="s">
        <v>165</v>
      </c>
      <c r="G182" s="16" t="s">
        <v>69</v>
      </c>
      <c r="H182" s="19"/>
      <c r="I182" s="16" t="s">
        <v>272</v>
      </c>
      <c r="J182" s="16" t="s">
        <v>74</v>
      </c>
      <c r="K182" s="17"/>
      <c r="L182" s="17" t="s">
        <v>161</v>
      </c>
      <c r="M182" s="17"/>
      <c r="N182" s="17"/>
    </row>
    <row r="183" customFormat="false" ht="46.5" hidden="false" customHeight="true" outlineLevel="0" collapsed="false">
      <c r="A183" s="18" t="s">
        <v>730</v>
      </c>
      <c r="B183" s="16" t="s">
        <v>62</v>
      </c>
      <c r="C183" s="16" t="s">
        <v>225</v>
      </c>
      <c r="D183" s="16" t="s">
        <v>731</v>
      </c>
      <c r="E183" s="16" t="s">
        <v>732</v>
      </c>
      <c r="F183" s="16" t="s">
        <v>158</v>
      </c>
      <c r="G183" s="16" t="s">
        <v>67</v>
      </c>
      <c r="H183" s="19" t="s">
        <v>159</v>
      </c>
      <c r="I183" s="16" t="s">
        <v>210</v>
      </c>
      <c r="J183" s="16" t="s">
        <v>71</v>
      </c>
      <c r="K183" s="17"/>
      <c r="L183" s="17" t="s">
        <v>161</v>
      </c>
      <c r="M183" s="17"/>
      <c r="N183" s="17"/>
    </row>
    <row r="184" customFormat="false" ht="33" hidden="false" customHeight="true" outlineLevel="0" collapsed="false">
      <c r="A184" s="18" t="s">
        <v>733</v>
      </c>
      <c r="B184" s="16" t="s">
        <v>62</v>
      </c>
      <c r="C184" s="16" t="s">
        <v>155</v>
      </c>
      <c r="D184" s="16" t="s">
        <v>734</v>
      </c>
      <c r="E184" s="16" t="s">
        <v>735</v>
      </c>
      <c r="F184" s="16" t="s">
        <v>165</v>
      </c>
      <c r="G184" s="16" t="s">
        <v>68</v>
      </c>
      <c r="H184" s="19"/>
      <c r="I184" s="16" t="s">
        <v>169</v>
      </c>
      <c r="J184" s="16" t="s">
        <v>73</v>
      </c>
      <c r="K184" s="17"/>
      <c r="L184" s="17" t="s">
        <v>161</v>
      </c>
      <c r="M184" s="17"/>
      <c r="N184" s="17"/>
    </row>
    <row r="185" customFormat="false" ht="46.5" hidden="false" customHeight="true" outlineLevel="0" collapsed="false">
      <c r="A185" s="18" t="s">
        <v>736</v>
      </c>
      <c r="B185" s="16" t="s">
        <v>63</v>
      </c>
      <c r="C185" s="16" t="s">
        <v>155</v>
      </c>
      <c r="D185" s="16" t="s">
        <v>737</v>
      </c>
      <c r="E185" s="16" t="s">
        <v>738</v>
      </c>
      <c r="F185" s="16" t="s">
        <v>158</v>
      </c>
      <c r="G185" s="16" t="s">
        <v>67</v>
      </c>
      <c r="H185" s="19" t="s">
        <v>159</v>
      </c>
      <c r="I185" s="16" t="s">
        <v>183</v>
      </c>
      <c r="J185" s="16" t="s">
        <v>71</v>
      </c>
      <c r="K185" s="17"/>
      <c r="L185" s="17" t="s">
        <v>161</v>
      </c>
      <c r="M185" s="17"/>
      <c r="N185" s="17"/>
    </row>
    <row r="186" customFormat="false" ht="46.5" hidden="false" customHeight="true" outlineLevel="0" collapsed="false">
      <c r="A186" s="18" t="s">
        <v>739</v>
      </c>
      <c r="B186" s="16" t="s">
        <v>63</v>
      </c>
      <c r="C186" s="16" t="s">
        <v>155</v>
      </c>
      <c r="D186" s="16" t="s">
        <v>740</v>
      </c>
      <c r="E186" s="16" t="s">
        <v>741</v>
      </c>
      <c r="F186" s="16" t="s">
        <v>158</v>
      </c>
      <c r="G186" s="16" t="s">
        <v>67</v>
      </c>
      <c r="H186" s="19" t="s">
        <v>159</v>
      </c>
      <c r="I186" s="16" t="s">
        <v>183</v>
      </c>
      <c r="J186" s="16" t="s">
        <v>71</v>
      </c>
      <c r="K186" s="17"/>
      <c r="L186" s="17" t="s">
        <v>161</v>
      </c>
      <c r="M186" s="17"/>
      <c r="N186" s="17"/>
    </row>
    <row r="187" customFormat="false" ht="33" hidden="false" customHeight="true" outlineLevel="0" collapsed="false">
      <c r="A187" s="18" t="s">
        <v>742</v>
      </c>
      <c r="B187" s="16" t="s">
        <v>63</v>
      </c>
      <c r="C187" s="16" t="s">
        <v>155</v>
      </c>
      <c r="D187" s="16" t="s">
        <v>743</v>
      </c>
      <c r="E187" s="16" t="s">
        <v>744</v>
      </c>
      <c r="F187" s="16" t="s">
        <v>165</v>
      </c>
      <c r="G187" s="16" t="s">
        <v>67</v>
      </c>
      <c r="H187" s="19"/>
      <c r="I187" s="16" t="s">
        <v>183</v>
      </c>
      <c r="J187" s="16" t="s">
        <v>72</v>
      </c>
      <c r="K187" s="17"/>
      <c r="L187" s="17" t="s">
        <v>161</v>
      </c>
      <c r="M187" s="17"/>
      <c r="N187" s="17"/>
    </row>
    <row r="188" customFormat="false" ht="33" hidden="false" customHeight="true" outlineLevel="0" collapsed="false">
      <c r="A188" s="18" t="s">
        <v>745</v>
      </c>
      <c r="B188" s="16" t="s">
        <v>63</v>
      </c>
      <c r="C188" s="16" t="s">
        <v>155</v>
      </c>
      <c r="D188" s="16" t="s">
        <v>746</v>
      </c>
      <c r="E188" s="16" t="s">
        <v>747</v>
      </c>
      <c r="F188" s="16" t="s">
        <v>165</v>
      </c>
      <c r="G188" s="16" t="s">
        <v>67</v>
      </c>
      <c r="H188" s="19" t="s">
        <v>159</v>
      </c>
      <c r="I188" s="16" t="s">
        <v>183</v>
      </c>
      <c r="J188" s="16" t="s">
        <v>72</v>
      </c>
      <c r="K188" s="17"/>
      <c r="L188" s="17" t="s">
        <v>161</v>
      </c>
      <c r="M188" s="17"/>
      <c r="N188" s="17"/>
    </row>
    <row r="189" customFormat="false" ht="33" hidden="false" customHeight="true" outlineLevel="0" collapsed="false">
      <c r="A189" s="18" t="s">
        <v>748</v>
      </c>
      <c r="B189" s="16" t="s">
        <v>63</v>
      </c>
      <c r="C189" s="16" t="s">
        <v>155</v>
      </c>
      <c r="D189" s="16" t="s">
        <v>749</v>
      </c>
      <c r="E189" s="16" t="s">
        <v>750</v>
      </c>
      <c r="F189" s="16" t="s">
        <v>173</v>
      </c>
      <c r="G189" s="16" t="s">
        <v>67</v>
      </c>
      <c r="H189" s="19"/>
      <c r="I189" s="16" t="s">
        <v>160</v>
      </c>
      <c r="J189" s="16" t="s">
        <v>72</v>
      </c>
      <c r="K189" s="17"/>
      <c r="L189" s="17" t="s">
        <v>161</v>
      </c>
      <c r="M189" s="17"/>
      <c r="N189" s="17"/>
    </row>
    <row r="190" customFormat="false" ht="33" hidden="false" customHeight="true" outlineLevel="0" collapsed="false">
      <c r="A190" s="18" t="s">
        <v>751</v>
      </c>
      <c r="B190" s="16" t="s">
        <v>63</v>
      </c>
      <c r="C190" s="16" t="s">
        <v>155</v>
      </c>
      <c r="D190" s="16" t="s">
        <v>752</v>
      </c>
      <c r="E190" s="16" t="s">
        <v>753</v>
      </c>
      <c r="F190" s="16" t="s">
        <v>165</v>
      </c>
      <c r="G190" s="16" t="s">
        <v>67</v>
      </c>
      <c r="H190" s="19" t="s">
        <v>159</v>
      </c>
      <c r="I190" s="16" t="s">
        <v>183</v>
      </c>
      <c r="J190" s="16" t="s">
        <v>73</v>
      </c>
      <c r="K190" s="17"/>
      <c r="L190" s="17" t="s">
        <v>161</v>
      </c>
      <c r="M190" s="17"/>
      <c r="N190" s="17"/>
    </row>
    <row r="191" customFormat="false" ht="33" hidden="false" customHeight="true" outlineLevel="0" collapsed="false">
      <c r="A191" s="18" t="s">
        <v>754</v>
      </c>
      <c r="B191" s="16" t="s">
        <v>63</v>
      </c>
      <c r="C191" s="16" t="s">
        <v>155</v>
      </c>
      <c r="D191" s="16" t="s">
        <v>755</v>
      </c>
      <c r="E191" s="16" t="s">
        <v>756</v>
      </c>
      <c r="F191" s="16" t="s">
        <v>158</v>
      </c>
      <c r="G191" s="16" t="s">
        <v>67</v>
      </c>
      <c r="H191" s="19"/>
      <c r="I191" s="16" t="s">
        <v>183</v>
      </c>
      <c r="J191" s="16" t="s">
        <v>71</v>
      </c>
      <c r="K191" s="17"/>
      <c r="L191" s="17" t="s">
        <v>161</v>
      </c>
      <c r="M191" s="17"/>
      <c r="N191" s="17"/>
    </row>
    <row r="192" customFormat="false" ht="33" hidden="false" customHeight="true" outlineLevel="0" collapsed="false">
      <c r="A192" s="18" t="s">
        <v>757</v>
      </c>
      <c r="B192" s="16" t="s">
        <v>63</v>
      </c>
      <c r="C192" s="16" t="s">
        <v>155</v>
      </c>
      <c r="D192" s="16" t="s">
        <v>758</v>
      </c>
      <c r="E192" s="16" t="s">
        <v>759</v>
      </c>
      <c r="F192" s="16" t="s">
        <v>165</v>
      </c>
      <c r="G192" s="16" t="s">
        <v>68</v>
      </c>
      <c r="H192" s="19"/>
      <c r="I192" s="16" t="s">
        <v>183</v>
      </c>
      <c r="J192" s="16" t="s">
        <v>71</v>
      </c>
      <c r="K192" s="17"/>
      <c r="L192" s="17" t="s">
        <v>161</v>
      </c>
      <c r="M192" s="17"/>
      <c r="N192" s="17"/>
    </row>
    <row r="193" customFormat="false" ht="33" hidden="false" customHeight="true" outlineLevel="0" collapsed="false">
      <c r="A193" s="18" t="s">
        <v>760</v>
      </c>
      <c r="B193" s="16" t="s">
        <v>63</v>
      </c>
      <c r="C193" s="16" t="s">
        <v>155</v>
      </c>
      <c r="D193" s="16" t="s">
        <v>761</v>
      </c>
      <c r="E193" s="16" t="s">
        <v>762</v>
      </c>
      <c r="F193" s="16" t="s">
        <v>165</v>
      </c>
      <c r="G193" s="16" t="s">
        <v>68</v>
      </c>
      <c r="H193" s="19"/>
      <c r="I193" s="16" t="s">
        <v>183</v>
      </c>
      <c r="J193" s="16" t="s">
        <v>71</v>
      </c>
      <c r="K193" s="17"/>
      <c r="L193" s="17" t="s">
        <v>161</v>
      </c>
      <c r="M193" s="17"/>
      <c r="N193" s="17"/>
    </row>
    <row r="194" customFormat="false" ht="33" hidden="false" customHeight="true" outlineLevel="0" collapsed="false">
      <c r="A194" s="18" t="s">
        <v>763</v>
      </c>
      <c r="B194" s="16" t="s">
        <v>63</v>
      </c>
      <c r="C194" s="16" t="s">
        <v>155</v>
      </c>
      <c r="D194" s="16" t="s">
        <v>764</v>
      </c>
      <c r="E194" s="16" t="s">
        <v>765</v>
      </c>
      <c r="F194" s="16" t="s">
        <v>165</v>
      </c>
      <c r="G194" s="16" t="s">
        <v>68</v>
      </c>
      <c r="H194" s="19"/>
      <c r="I194" s="16" t="s">
        <v>183</v>
      </c>
      <c r="J194" s="16" t="s">
        <v>71</v>
      </c>
      <c r="K194" s="17"/>
      <c r="L194" s="17" t="s">
        <v>161</v>
      </c>
      <c r="M194" s="17"/>
      <c r="N194" s="17"/>
    </row>
    <row r="195" customFormat="false" ht="33" hidden="false" customHeight="true" outlineLevel="0" collapsed="false">
      <c r="A195" s="18" t="s">
        <v>766</v>
      </c>
      <c r="B195" s="16" t="s">
        <v>63</v>
      </c>
      <c r="C195" s="16" t="s">
        <v>155</v>
      </c>
      <c r="D195" s="16" t="s">
        <v>767</v>
      </c>
      <c r="E195" s="16" t="s">
        <v>768</v>
      </c>
      <c r="F195" s="16" t="s">
        <v>214</v>
      </c>
      <c r="G195" s="16" t="s">
        <v>68</v>
      </c>
      <c r="H195" s="19"/>
      <c r="I195" s="16" t="s">
        <v>183</v>
      </c>
      <c r="J195" s="16" t="s">
        <v>72</v>
      </c>
      <c r="K195" s="17"/>
      <c r="L195" s="17" t="s">
        <v>161</v>
      </c>
      <c r="M195" s="17"/>
      <c r="N195" s="17"/>
    </row>
    <row r="196" customFormat="false" ht="31.5" hidden="false" customHeight="true" outlineLevel="0" collapsed="false">
      <c r="A196" s="18" t="s">
        <v>769</v>
      </c>
      <c r="B196" s="16" t="s">
        <v>63</v>
      </c>
      <c r="C196" s="16" t="s">
        <v>155</v>
      </c>
      <c r="D196" s="16" t="s">
        <v>770</v>
      </c>
      <c r="E196" s="16" t="s">
        <v>771</v>
      </c>
      <c r="F196" s="16" t="s">
        <v>165</v>
      </c>
      <c r="G196" s="16" t="s">
        <v>67</v>
      </c>
      <c r="H196" s="19"/>
      <c r="I196" s="16" t="s">
        <v>160</v>
      </c>
      <c r="J196" s="16" t="s">
        <v>71</v>
      </c>
      <c r="K196" s="17"/>
      <c r="L196" s="17" t="s">
        <v>161</v>
      </c>
      <c r="M196" s="17"/>
      <c r="N196" s="17"/>
    </row>
    <row r="197" customFormat="false" ht="46.5" hidden="false" customHeight="true" outlineLevel="0" collapsed="false">
      <c r="A197" s="18" t="s">
        <v>772</v>
      </c>
      <c r="B197" s="16" t="s">
        <v>64</v>
      </c>
      <c r="C197" s="16" t="s">
        <v>155</v>
      </c>
      <c r="D197" s="16" t="s">
        <v>773</v>
      </c>
      <c r="E197" s="16" t="s">
        <v>774</v>
      </c>
      <c r="F197" s="16" t="s">
        <v>158</v>
      </c>
      <c r="G197" s="16" t="s">
        <v>67</v>
      </c>
      <c r="H197" s="19" t="s">
        <v>159</v>
      </c>
      <c r="I197" s="16" t="s">
        <v>160</v>
      </c>
      <c r="J197" s="16" t="s">
        <v>71</v>
      </c>
      <c r="K197" s="17"/>
      <c r="L197" s="17" t="s">
        <v>161</v>
      </c>
      <c r="M197" s="17"/>
      <c r="N197" s="17"/>
    </row>
    <row r="198" customFormat="false" ht="33" hidden="false" customHeight="true" outlineLevel="0" collapsed="false">
      <c r="A198" s="18" t="s">
        <v>775</v>
      </c>
      <c r="B198" s="16" t="s">
        <v>64</v>
      </c>
      <c r="C198" s="16" t="s">
        <v>155</v>
      </c>
      <c r="D198" s="16" t="s">
        <v>776</v>
      </c>
      <c r="E198" s="16" t="s">
        <v>777</v>
      </c>
      <c r="F198" s="16" t="s">
        <v>158</v>
      </c>
      <c r="G198" s="16" t="s">
        <v>68</v>
      </c>
      <c r="H198" s="19" t="s">
        <v>159</v>
      </c>
      <c r="I198" s="16" t="s">
        <v>272</v>
      </c>
      <c r="J198" s="16" t="s">
        <v>72</v>
      </c>
      <c r="K198" s="17"/>
      <c r="L198" s="17" t="s">
        <v>161</v>
      </c>
      <c r="M198" s="17"/>
      <c r="N198" s="17"/>
    </row>
    <row r="199" customFormat="false" ht="33" hidden="false" customHeight="true" outlineLevel="0" collapsed="false">
      <c r="A199" s="18" t="s">
        <v>778</v>
      </c>
      <c r="B199" s="16" t="s">
        <v>64</v>
      </c>
      <c r="C199" s="16" t="s">
        <v>155</v>
      </c>
      <c r="D199" s="16" t="s">
        <v>779</v>
      </c>
      <c r="E199" s="16" t="s">
        <v>780</v>
      </c>
      <c r="F199" s="16" t="s">
        <v>165</v>
      </c>
      <c r="G199" s="16" t="s">
        <v>67</v>
      </c>
      <c r="H199" s="19" t="s">
        <v>159</v>
      </c>
      <c r="I199" s="16" t="s">
        <v>160</v>
      </c>
      <c r="J199" s="16" t="s">
        <v>71</v>
      </c>
      <c r="K199" s="17"/>
      <c r="L199" s="17" t="s">
        <v>161</v>
      </c>
      <c r="M199" s="17"/>
      <c r="N199" s="17"/>
    </row>
    <row r="200" customFormat="false" ht="46.5" hidden="false" customHeight="true" outlineLevel="0" collapsed="false">
      <c r="A200" s="18" t="s">
        <v>781</v>
      </c>
      <c r="B200" s="16" t="s">
        <v>64</v>
      </c>
      <c r="C200" s="16" t="s">
        <v>155</v>
      </c>
      <c r="D200" s="16" t="s">
        <v>782</v>
      </c>
      <c r="E200" s="16" t="s">
        <v>783</v>
      </c>
      <c r="F200" s="16" t="s">
        <v>165</v>
      </c>
      <c r="G200" s="16" t="s">
        <v>68</v>
      </c>
      <c r="H200" s="19" t="s">
        <v>159</v>
      </c>
      <c r="I200" s="16" t="s">
        <v>169</v>
      </c>
      <c r="J200" s="16" t="s">
        <v>73</v>
      </c>
      <c r="K200" s="17"/>
      <c r="L200" s="17" t="s">
        <v>161</v>
      </c>
      <c r="M200" s="17"/>
      <c r="N200" s="17"/>
    </row>
    <row r="201" customFormat="false" ht="33" hidden="false" customHeight="true" outlineLevel="0" collapsed="false">
      <c r="A201" s="18" t="s">
        <v>784</v>
      </c>
      <c r="B201" s="16" t="s">
        <v>64</v>
      </c>
      <c r="C201" s="16" t="s">
        <v>155</v>
      </c>
      <c r="D201" s="16" t="s">
        <v>785</v>
      </c>
      <c r="E201" s="16" t="s">
        <v>786</v>
      </c>
      <c r="F201" s="16" t="s">
        <v>165</v>
      </c>
      <c r="G201" s="16" t="s">
        <v>68</v>
      </c>
      <c r="H201" s="19"/>
      <c r="I201" s="16" t="s">
        <v>169</v>
      </c>
      <c r="J201" s="16" t="s">
        <v>74</v>
      </c>
      <c r="K201" s="17"/>
      <c r="L201" s="17" t="s">
        <v>161</v>
      </c>
      <c r="M201" s="17"/>
      <c r="N201" s="17"/>
    </row>
    <row r="202" customFormat="false" ht="33" hidden="false" customHeight="true" outlineLevel="0" collapsed="false">
      <c r="A202" s="18" t="s">
        <v>787</v>
      </c>
      <c r="B202" s="16" t="s">
        <v>64</v>
      </c>
      <c r="C202" s="16" t="s">
        <v>155</v>
      </c>
      <c r="D202" s="16" t="s">
        <v>788</v>
      </c>
      <c r="E202" s="16" t="s">
        <v>789</v>
      </c>
      <c r="F202" s="16" t="s">
        <v>165</v>
      </c>
      <c r="G202" s="16" t="s">
        <v>69</v>
      </c>
      <c r="H202" s="19"/>
      <c r="I202" s="16" t="s">
        <v>169</v>
      </c>
      <c r="J202" s="16" t="s">
        <v>74</v>
      </c>
      <c r="K202" s="17"/>
      <c r="L202" s="17" t="s">
        <v>161</v>
      </c>
      <c r="M202" s="17"/>
      <c r="N202" s="17"/>
    </row>
    <row r="203" customFormat="false" ht="31.5" hidden="false" customHeight="true" outlineLevel="0" collapsed="false">
      <c r="A203" s="18" t="s">
        <v>790</v>
      </c>
      <c r="B203" s="16" t="s">
        <v>64</v>
      </c>
      <c r="C203" s="16" t="s">
        <v>155</v>
      </c>
      <c r="D203" s="16" t="s">
        <v>791</v>
      </c>
      <c r="E203" s="16" t="s">
        <v>792</v>
      </c>
      <c r="F203" s="16" t="s">
        <v>165</v>
      </c>
      <c r="G203" s="16" t="s">
        <v>69</v>
      </c>
      <c r="H203" s="19"/>
      <c r="I203" s="16" t="s">
        <v>160</v>
      </c>
      <c r="J203" s="16" t="s">
        <v>74</v>
      </c>
      <c r="K203" s="17"/>
      <c r="L203" s="17" t="s">
        <v>161</v>
      </c>
      <c r="M203" s="17"/>
      <c r="N203" s="17"/>
    </row>
    <row r="204" customFormat="false" ht="33" hidden="false" customHeight="true" outlineLevel="0" collapsed="false">
      <c r="A204" s="18" t="s">
        <v>793</v>
      </c>
      <c r="B204" s="16" t="s">
        <v>64</v>
      </c>
      <c r="C204" s="16" t="s">
        <v>155</v>
      </c>
      <c r="D204" s="16" t="s">
        <v>794</v>
      </c>
      <c r="E204" s="16" t="s">
        <v>795</v>
      </c>
      <c r="F204" s="16" t="s">
        <v>165</v>
      </c>
      <c r="G204" s="16" t="s">
        <v>68</v>
      </c>
      <c r="H204" s="19" t="s">
        <v>159</v>
      </c>
      <c r="I204" s="16" t="s">
        <v>276</v>
      </c>
      <c r="J204" s="16" t="s">
        <v>72</v>
      </c>
      <c r="K204" s="17"/>
      <c r="L204" s="17" t="s">
        <v>161</v>
      </c>
      <c r="M204" s="17"/>
      <c r="N204" s="17"/>
    </row>
  </sheetData>
  <autoFilter ref="A4:N204"/>
  <conditionalFormatting sqref="L5:L204">
    <cfRule type="cellIs" priority="2" operator="equal" aboveAverage="0" equalAverage="0" bottom="0" percent="0" rank="0" text="" dxfId="7">
      <formula>"Answered"</formula>
    </cfRule>
    <cfRule type="cellIs" priority="3" operator="equal" aboveAverage="0" equalAverage="0" bottom="0" percent="0" rank="0" text="" dxfId="8">
      <formula>"Follow-up needed"</formula>
    </cfRule>
    <cfRule type="cellIs" priority="4" operator="equal" aboveAverage="0" equalAverage="0" bottom="0" percent="0" rank="0" text="" dxfId="9">
      <formula>"In progress"</formula>
    </cfRule>
  </conditionalFormatting>
  <conditionalFormatting sqref="G5:G204">
    <cfRule type="expression" priority="5" aboveAverage="0" equalAverage="0" bottom="0" percent="0" rank="0" text="" dxfId="10">
      <formula>LEFT(G5,2)="P1"</formula>
    </cfRule>
  </conditionalFormatting>
  <dataValidations count="1">
    <dataValidation allowBlank="false" errorStyle="stop" operator="between" showDropDown="false" showErrorMessage="false" showInputMessage="false" sqref="L5:L204" type="list">
      <formula1>"Not started,In progress,Answered,Follow-up needed,Not applicable"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1"/>
    <pageSetUpPr fitToPage="true"/>
  </sheetPr>
  <dimension ref="A1:I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8"/>
    <col collapsed="false" customWidth="true" hidden="false" outlineLevel="0" max="5" min="3" style="0" width="34"/>
    <col collapsed="false" customWidth="true" hidden="false" outlineLevel="0" max="6" min="6" style="0" width="40"/>
    <col collapsed="false" customWidth="true" hidden="false" outlineLevel="0" max="7" min="7" style="0" width="15"/>
    <col collapsed="false" customWidth="true" hidden="false" outlineLevel="0" max="8" min="8" style="0" width="14"/>
    <col collapsed="false" customWidth="true" hidden="false" outlineLevel="0" max="9" min="9" style="0" width="28"/>
  </cols>
  <sheetData>
    <row r="1" customFormat="false" ht="19.7" hidden="false" customHeight="false" outlineLevel="0" collapsed="false">
      <c r="A1" s="1" t="s">
        <v>796</v>
      </c>
    </row>
    <row r="2" customFormat="false" ht="15" hidden="false" customHeight="false" outlineLevel="0" collapsed="false">
      <c r="A2" s="2" t="s">
        <v>797</v>
      </c>
    </row>
    <row r="4" customFormat="false" ht="33.75" hidden="false" customHeight="true" outlineLevel="0" collapsed="false">
      <c r="A4" s="8" t="s">
        <v>798</v>
      </c>
      <c r="B4" s="8" t="s">
        <v>799</v>
      </c>
      <c r="C4" s="8" t="s">
        <v>800</v>
      </c>
      <c r="D4" s="8" t="s">
        <v>801</v>
      </c>
      <c r="E4" s="8" t="s">
        <v>802</v>
      </c>
      <c r="F4" s="8" t="s">
        <v>803</v>
      </c>
      <c r="G4" s="8" t="s">
        <v>804</v>
      </c>
      <c r="H4" s="8" t="s">
        <v>805</v>
      </c>
      <c r="I4" s="8" t="s">
        <v>806</v>
      </c>
    </row>
    <row r="5" customFormat="false" ht="33" hidden="false" customHeight="true" outlineLevel="0" collapsed="false">
      <c r="A5" s="15" t="s">
        <v>807</v>
      </c>
      <c r="B5" s="17" t="s">
        <v>808</v>
      </c>
      <c r="C5" s="16" t="s">
        <v>809</v>
      </c>
      <c r="D5" s="16" t="s">
        <v>810</v>
      </c>
      <c r="E5" s="16" t="s">
        <v>811</v>
      </c>
      <c r="F5" s="16" t="s">
        <v>812</v>
      </c>
      <c r="G5" s="20"/>
      <c r="H5" s="17"/>
      <c r="I5" s="17"/>
    </row>
    <row r="6" customFormat="false" ht="33" hidden="false" customHeight="true" outlineLevel="0" collapsed="false">
      <c r="A6" s="15" t="s">
        <v>813</v>
      </c>
      <c r="B6" s="17" t="s">
        <v>808</v>
      </c>
      <c r="C6" s="16" t="s">
        <v>814</v>
      </c>
      <c r="D6" s="16" t="s">
        <v>815</v>
      </c>
      <c r="E6" s="16" t="s">
        <v>816</v>
      </c>
      <c r="F6" s="16" t="s">
        <v>817</v>
      </c>
      <c r="G6" s="20"/>
      <c r="H6" s="17"/>
      <c r="I6" s="17"/>
    </row>
    <row r="7" customFormat="false" ht="31.5" hidden="false" customHeight="true" outlineLevel="0" collapsed="false">
      <c r="A7" s="15" t="s">
        <v>818</v>
      </c>
      <c r="B7" s="17" t="s">
        <v>819</v>
      </c>
      <c r="C7" s="16" t="s">
        <v>820</v>
      </c>
      <c r="D7" s="16" t="s">
        <v>821</v>
      </c>
      <c r="E7" s="16" t="s">
        <v>822</v>
      </c>
      <c r="F7" s="16" t="s">
        <v>823</v>
      </c>
      <c r="G7" s="20"/>
      <c r="H7" s="17"/>
      <c r="I7" s="17"/>
    </row>
    <row r="8" customFormat="false" ht="33" hidden="false" customHeight="true" outlineLevel="0" collapsed="false">
      <c r="A8" s="15" t="s">
        <v>824</v>
      </c>
      <c r="B8" s="17" t="s">
        <v>825</v>
      </c>
      <c r="C8" s="16" t="s">
        <v>826</v>
      </c>
      <c r="D8" s="16" t="s">
        <v>827</v>
      </c>
      <c r="E8" s="16" t="s">
        <v>828</v>
      </c>
      <c r="F8" s="16" t="s">
        <v>829</v>
      </c>
      <c r="G8" s="20"/>
      <c r="H8" s="17"/>
      <c r="I8" s="17"/>
    </row>
    <row r="9" customFormat="false" ht="31.5" hidden="false" customHeight="true" outlineLevel="0" collapsed="false">
      <c r="A9" s="15" t="s">
        <v>830</v>
      </c>
      <c r="B9" s="17" t="s">
        <v>819</v>
      </c>
      <c r="C9" s="16" t="s">
        <v>831</v>
      </c>
      <c r="D9" s="16" t="s">
        <v>832</v>
      </c>
      <c r="E9" s="16" t="s">
        <v>833</v>
      </c>
      <c r="F9" s="16" t="s">
        <v>834</v>
      </c>
      <c r="G9" s="20"/>
      <c r="H9" s="17"/>
      <c r="I9" s="17"/>
    </row>
    <row r="10" customFormat="false" ht="33" hidden="false" customHeight="true" outlineLevel="0" collapsed="false">
      <c r="A10" s="15" t="s">
        <v>98</v>
      </c>
      <c r="B10" s="17" t="s">
        <v>825</v>
      </c>
      <c r="C10" s="16" t="s">
        <v>835</v>
      </c>
      <c r="D10" s="16" t="s">
        <v>836</v>
      </c>
      <c r="E10" s="16" t="s">
        <v>837</v>
      </c>
      <c r="F10" s="16" t="s">
        <v>838</v>
      </c>
      <c r="G10" s="20"/>
      <c r="H10" s="17"/>
      <c r="I10" s="17"/>
    </row>
    <row r="11" customFormat="false" ht="33" hidden="false" customHeight="true" outlineLevel="0" collapsed="false">
      <c r="A11" s="15" t="s">
        <v>839</v>
      </c>
      <c r="B11" s="17" t="s">
        <v>819</v>
      </c>
      <c r="C11" s="16" t="s">
        <v>840</v>
      </c>
      <c r="D11" s="16" t="s">
        <v>841</v>
      </c>
      <c r="E11" s="16" t="s">
        <v>842</v>
      </c>
      <c r="F11" s="16" t="s">
        <v>843</v>
      </c>
      <c r="G11" s="20"/>
      <c r="H11" s="17"/>
      <c r="I11" s="17"/>
    </row>
    <row r="12" customFormat="false" ht="33" hidden="false" customHeight="true" outlineLevel="0" collapsed="false">
      <c r="A12" s="15" t="s">
        <v>844</v>
      </c>
      <c r="B12" s="17" t="s">
        <v>825</v>
      </c>
      <c r="C12" s="16" t="s">
        <v>845</v>
      </c>
      <c r="D12" s="16" t="s">
        <v>846</v>
      </c>
      <c r="E12" s="16" t="s">
        <v>847</v>
      </c>
      <c r="F12" s="16" t="s">
        <v>848</v>
      </c>
      <c r="G12" s="20"/>
      <c r="H12" s="17"/>
      <c r="I12" s="17"/>
    </row>
    <row r="13" customFormat="false" ht="33" hidden="false" customHeight="true" outlineLevel="0" collapsed="false">
      <c r="A13" s="15" t="s">
        <v>849</v>
      </c>
      <c r="B13" s="17" t="s">
        <v>825</v>
      </c>
      <c r="C13" s="16" t="s">
        <v>850</v>
      </c>
      <c r="D13" s="16" t="s">
        <v>851</v>
      </c>
      <c r="E13" s="16" t="s">
        <v>852</v>
      </c>
      <c r="F13" s="16" t="s">
        <v>853</v>
      </c>
      <c r="G13" s="20"/>
      <c r="H13" s="17"/>
      <c r="I13" s="17"/>
    </row>
    <row r="14" customFormat="false" ht="33" hidden="false" customHeight="true" outlineLevel="0" collapsed="false">
      <c r="A14" s="15" t="s">
        <v>854</v>
      </c>
      <c r="B14" s="17" t="s">
        <v>825</v>
      </c>
      <c r="C14" s="16" t="s">
        <v>855</v>
      </c>
      <c r="D14" s="16" t="s">
        <v>856</v>
      </c>
      <c r="E14" s="16" t="s">
        <v>857</v>
      </c>
      <c r="F14" s="16" t="s">
        <v>858</v>
      </c>
      <c r="G14" s="20"/>
      <c r="H14" s="17"/>
      <c r="I14" s="17"/>
    </row>
    <row r="15" customFormat="false" ht="31.5" hidden="false" customHeight="true" outlineLevel="0" collapsed="false">
      <c r="A15" s="15" t="s">
        <v>859</v>
      </c>
      <c r="B15" s="17" t="s">
        <v>819</v>
      </c>
      <c r="C15" s="16" t="s">
        <v>860</v>
      </c>
      <c r="D15" s="16" t="s">
        <v>861</v>
      </c>
      <c r="E15" s="16" t="s">
        <v>862</v>
      </c>
      <c r="F15" s="16" t="s">
        <v>863</v>
      </c>
      <c r="G15" s="20"/>
      <c r="H15" s="17"/>
      <c r="I15" s="17"/>
    </row>
    <row r="16" customFormat="false" ht="33" hidden="false" customHeight="true" outlineLevel="0" collapsed="false">
      <c r="A16" s="15" t="s">
        <v>864</v>
      </c>
      <c r="B16" s="17" t="s">
        <v>819</v>
      </c>
      <c r="C16" s="16" t="s">
        <v>865</v>
      </c>
      <c r="D16" s="16" t="s">
        <v>866</v>
      </c>
      <c r="E16" s="16" t="s">
        <v>867</v>
      </c>
      <c r="F16" s="16" t="s">
        <v>868</v>
      </c>
      <c r="G16" s="20"/>
      <c r="H16" s="17"/>
      <c r="I16" s="17"/>
    </row>
    <row r="17" customFormat="false" ht="31.5" hidden="false" customHeight="true" outlineLevel="0" collapsed="false">
      <c r="A17" s="15" t="s">
        <v>869</v>
      </c>
      <c r="B17" s="17" t="s">
        <v>819</v>
      </c>
      <c r="C17" s="16" t="s">
        <v>870</v>
      </c>
      <c r="D17" s="16" t="s">
        <v>871</v>
      </c>
      <c r="E17" s="16" t="s">
        <v>872</v>
      </c>
      <c r="F17" s="16" t="s">
        <v>834</v>
      </c>
      <c r="G17" s="20"/>
      <c r="H17" s="17"/>
      <c r="I17" s="17"/>
    </row>
    <row r="18" customFormat="false" ht="33" hidden="false" customHeight="true" outlineLevel="0" collapsed="false">
      <c r="A18" s="15" t="s">
        <v>873</v>
      </c>
      <c r="B18" s="17" t="s">
        <v>819</v>
      </c>
      <c r="C18" s="16" t="s">
        <v>874</v>
      </c>
      <c r="D18" s="16" t="s">
        <v>875</v>
      </c>
      <c r="E18" s="16" t="s">
        <v>876</v>
      </c>
      <c r="F18" s="16" t="s">
        <v>877</v>
      </c>
      <c r="G18" s="20"/>
      <c r="H18" s="17"/>
      <c r="I18" s="17"/>
    </row>
    <row r="19" customFormat="false" ht="31.5" hidden="false" customHeight="true" outlineLevel="0" collapsed="false">
      <c r="A19" s="15" t="s">
        <v>878</v>
      </c>
      <c r="B19" s="17" t="s">
        <v>819</v>
      </c>
      <c r="C19" s="16" t="s">
        <v>879</v>
      </c>
      <c r="D19" s="16" t="s">
        <v>880</v>
      </c>
      <c r="E19" s="16" t="s">
        <v>881</v>
      </c>
      <c r="F19" s="16" t="s">
        <v>882</v>
      </c>
      <c r="G19" s="20"/>
      <c r="H19" s="17"/>
      <c r="I19" s="17"/>
    </row>
    <row r="20" customFormat="false" ht="33" hidden="false" customHeight="true" outlineLevel="0" collapsed="false">
      <c r="A20" s="15" t="s">
        <v>883</v>
      </c>
      <c r="B20" s="17" t="s">
        <v>819</v>
      </c>
      <c r="C20" s="16" t="s">
        <v>884</v>
      </c>
      <c r="D20" s="16" t="s">
        <v>885</v>
      </c>
      <c r="E20" s="16" t="s">
        <v>886</v>
      </c>
      <c r="F20" s="16" t="s">
        <v>887</v>
      </c>
      <c r="G20" s="20"/>
      <c r="H20" s="17"/>
      <c r="I20" s="17"/>
    </row>
  </sheetData>
  <dataValidations count="2">
    <dataValidation allowBlank="true" errorStyle="stop" operator="between" showDropDown="false" showErrorMessage="false" showInputMessage="false" sqref="B5:B20" type="list">
      <formula1>"Live,In build,Planned - confirm date,Not planned,To confirm"</formula1>
      <formula2>0</formula2>
    </dataValidation>
    <dataValidation allowBlank="true" errorStyle="stop" operator="between" showDropDown="false" showErrorMessage="false" showInputMessage="false" sqref="H5:H20" type="list">
      <formula1>"Yes,No,Phase 2,To discuss"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1"/>
    <pageSetUpPr fitToPage="true"/>
  </sheetPr>
  <dimension ref="A1:I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6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30"/>
    <col collapsed="false" customWidth="true" hidden="false" outlineLevel="0" max="7" min="6" style="0" width="14"/>
    <col collapsed="false" customWidth="true" hidden="false" outlineLevel="0" max="8" min="8" style="0" width="16"/>
    <col collapsed="false" customWidth="true" hidden="false" outlineLevel="0" max="9" min="9" style="0" width="34"/>
  </cols>
  <sheetData>
    <row r="1" customFormat="false" ht="19.7" hidden="false" customHeight="false" outlineLevel="0" collapsed="false">
      <c r="A1" s="1" t="s">
        <v>888</v>
      </c>
    </row>
    <row r="2" customFormat="false" ht="15" hidden="false" customHeight="false" outlineLevel="0" collapsed="false">
      <c r="A2" s="2" t="s">
        <v>889</v>
      </c>
    </row>
    <row r="4" customFormat="false" ht="33.75" hidden="false" customHeight="true" outlineLevel="0" collapsed="false">
      <c r="A4" s="8" t="s">
        <v>890</v>
      </c>
      <c r="B4" s="8" t="s">
        <v>891</v>
      </c>
      <c r="C4" s="8" t="s">
        <v>892</v>
      </c>
      <c r="D4" s="8" t="s">
        <v>893</v>
      </c>
      <c r="E4" s="8" t="s">
        <v>894</v>
      </c>
      <c r="F4" s="8" t="s">
        <v>895</v>
      </c>
      <c r="G4" s="8" t="s">
        <v>896</v>
      </c>
      <c r="H4" s="8" t="s">
        <v>897</v>
      </c>
      <c r="I4" s="8" t="s">
        <v>898</v>
      </c>
    </row>
    <row r="5" customFormat="false" ht="30" hidden="false" customHeight="true" outlineLevel="0" collapsed="false">
      <c r="A5" s="15" t="s">
        <v>899</v>
      </c>
      <c r="B5" s="16" t="s">
        <v>900</v>
      </c>
      <c r="C5" s="16" t="s">
        <v>901</v>
      </c>
      <c r="D5" s="16" t="s">
        <v>119</v>
      </c>
      <c r="E5" s="16" t="s">
        <v>902</v>
      </c>
      <c r="F5" s="17"/>
      <c r="G5" s="17"/>
      <c r="H5" s="17"/>
      <c r="I5" s="17"/>
    </row>
    <row r="6" customFormat="false" ht="30" hidden="false" customHeight="true" outlineLevel="0" collapsed="false">
      <c r="A6" s="15" t="s">
        <v>903</v>
      </c>
      <c r="B6" s="16" t="s">
        <v>904</v>
      </c>
      <c r="C6" s="16" t="s">
        <v>905</v>
      </c>
      <c r="D6" s="16" t="s">
        <v>119</v>
      </c>
      <c r="E6" s="16" t="s">
        <v>902</v>
      </c>
      <c r="F6" s="17"/>
      <c r="G6" s="17"/>
      <c r="H6" s="17"/>
      <c r="I6" s="17"/>
    </row>
    <row r="7" customFormat="false" ht="30" hidden="false" customHeight="true" outlineLevel="0" collapsed="false">
      <c r="A7" s="15" t="s">
        <v>906</v>
      </c>
      <c r="B7" s="16" t="s">
        <v>907</v>
      </c>
      <c r="C7" s="16" t="s">
        <v>908</v>
      </c>
      <c r="D7" s="16" t="s">
        <v>119</v>
      </c>
      <c r="E7" s="16" t="s">
        <v>902</v>
      </c>
      <c r="F7" s="17"/>
      <c r="G7" s="17"/>
      <c r="H7" s="17"/>
      <c r="I7" s="17"/>
    </row>
    <row r="8" customFormat="false" ht="30" hidden="false" customHeight="true" outlineLevel="0" collapsed="false">
      <c r="A8" s="15" t="s">
        <v>909</v>
      </c>
      <c r="B8" s="16" t="s">
        <v>907</v>
      </c>
      <c r="C8" s="16" t="s">
        <v>910</v>
      </c>
      <c r="D8" s="16" t="s">
        <v>92</v>
      </c>
      <c r="E8" s="16" t="s">
        <v>911</v>
      </c>
      <c r="F8" s="17"/>
      <c r="G8" s="17"/>
      <c r="H8" s="17"/>
      <c r="I8" s="17"/>
    </row>
    <row r="9" customFormat="false" ht="30" hidden="false" customHeight="true" outlineLevel="0" collapsed="false">
      <c r="A9" s="15" t="s">
        <v>912</v>
      </c>
      <c r="B9" s="16" t="s">
        <v>913</v>
      </c>
      <c r="C9" s="16" t="s">
        <v>914</v>
      </c>
      <c r="D9" s="16" t="s">
        <v>92</v>
      </c>
      <c r="E9" s="16" t="s">
        <v>915</v>
      </c>
      <c r="F9" s="17"/>
      <c r="G9" s="17"/>
      <c r="H9" s="17"/>
      <c r="I9" s="17"/>
    </row>
    <row r="10" customFormat="false" ht="30" hidden="false" customHeight="true" outlineLevel="0" collapsed="false">
      <c r="A10" s="15" t="s">
        <v>916</v>
      </c>
      <c r="B10" s="16" t="s">
        <v>904</v>
      </c>
      <c r="C10" s="16" t="s">
        <v>917</v>
      </c>
      <c r="D10" s="16" t="s">
        <v>918</v>
      </c>
      <c r="E10" s="16" t="s">
        <v>902</v>
      </c>
      <c r="F10" s="17"/>
      <c r="G10" s="17"/>
      <c r="H10" s="17"/>
      <c r="I10" s="17"/>
    </row>
    <row r="11" customFormat="false" ht="30" hidden="false" customHeight="true" outlineLevel="0" collapsed="false">
      <c r="A11" s="15" t="s">
        <v>919</v>
      </c>
      <c r="B11" s="16" t="s">
        <v>920</v>
      </c>
      <c r="C11" s="16" t="s">
        <v>921</v>
      </c>
      <c r="D11" s="16" t="s">
        <v>918</v>
      </c>
      <c r="E11" s="16" t="s">
        <v>922</v>
      </c>
      <c r="F11" s="17"/>
      <c r="G11" s="17"/>
      <c r="H11" s="17"/>
      <c r="I11" s="17"/>
    </row>
    <row r="12" customFormat="false" ht="30" hidden="false" customHeight="true" outlineLevel="0" collapsed="false">
      <c r="A12" s="15" t="s">
        <v>923</v>
      </c>
      <c r="B12" s="16" t="s">
        <v>920</v>
      </c>
      <c r="C12" s="16" t="s">
        <v>921</v>
      </c>
      <c r="D12" s="16" t="s">
        <v>119</v>
      </c>
      <c r="E12" s="16" t="s">
        <v>104</v>
      </c>
      <c r="F12" s="17"/>
      <c r="G12" s="17"/>
      <c r="H12" s="17"/>
      <c r="I12" s="17"/>
    </row>
    <row r="13" customFormat="false" ht="30" hidden="false" customHeight="true" outlineLevel="0" collapsed="false">
      <c r="A13" s="15" t="s">
        <v>924</v>
      </c>
      <c r="B13" s="16" t="s">
        <v>925</v>
      </c>
      <c r="C13" s="16" t="s">
        <v>926</v>
      </c>
      <c r="D13" s="16" t="s">
        <v>918</v>
      </c>
      <c r="E13" s="16" t="s">
        <v>927</v>
      </c>
      <c r="F13" s="17"/>
      <c r="G13" s="17"/>
      <c r="H13" s="17"/>
      <c r="I13" s="17"/>
    </row>
    <row r="14" customFormat="false" ht="30" hidden="false" customHeight="true" outlineLevel="0" collapsed="false">
      <c r="A14" s="15" t="s">
        <v>928</v>
      </c>
      <c r="B14" s="16" t="s">
        <v>925</v>
      </c>
      <c r="C14" s="16" t="s">
        <v>929</v>
      </c>
      <c r="D14" s="16" t="s">
        <v>918</v>
      </c>
      <c r="E14" s="16" t="s">
        <v>902</v>
      </c>
      <c r="F14" s="17"/>
      <c r="G14" s="17"/>
      <c r="H14" s="17"/>
      <c r="I14" s="17"/>
    </row>
    <row r="15" customFormat="false" ht="30" hidden="false" customHeight="true" outlineLevel="0" collapsed="false">
      <c r="A15" s="15" t="s">
        <v>930</v>
      </c>
      <c r="B15" s="16" t="s">
        <v>925</v>
      </c>
      <c r="C15" s="16" t="s">
        <v>931</v>
      </c>
      <c r="D15" s="16" t="s">
        <v>918</v>
      </c>
      <c r="E15" s="16" t="s">
        <v>902</v>
      </c>
      <c r="F15" s="17"/>
      <c r="G15" s="17"/>
      <c r="H15" s="17"/>
      <c r="I15" s="17"/>
    </row>
    <row r="16" customFormat="false" ht="30" hidden="false" customHeight="true" outlineLevel="0" collapsed="false">
      <c r="A16" s="15" t="s">
        <v>932</v>
      </c>
      <c r="B16" s="16" t="s">
        <v>925</v>
      </c>
      <c r="C16" s="16" t="s">
        <v>933</v>
      </c>
      <c r="D16" s="16" t="s">
        <v>918</v>
      </c>
      <c r="E16" s="16" t="s">
        <v>934</v>
      </c>
      <c r="F16" s="17"/>
      <c r="G16" s="17"/>
      <c r="H16" s="17"/>
      <c r="I16" s="17"/>
    </row>
    <row r="17" customFormat="false" ht="30" hidden="false" customHeight="true" outlineLevel="0" collapsed="false">
      <c r="A17" s="15" t="s">
        <v>935</v>
      </c>
      <c r="B17" s="16" t="s">
        <v>925</v>
      </c>
      <c r="C17" s="16" t="s">
        <v>936</v>
      </c>
      <c r="D17" s="16" t="s">
        <v>918</v>
      </c>
      <c r="E17" s="16" t="s">
        <v>902</v>
      </c>
      <c r="F17" s="17"/>
      <c r="G17" s="17"/>
      <c r="H17" s="17"/>
      <c r="I17" s="17"/>
    </row>
    <row r="18" customFormat="false" ht="30" hidden="false" customHeight="true" outlineLevel="0" collapsed="false">
      <c r="A18" s="15" t="s">
        <v>937</v>
      </c>
      <c r="B18" s="16" t="s">
        <v>925</v>
      </c>
      <c r="C18" s="16" t="s">
        <v>936</v>
      </c>
      <c r="D18" s="16" t="s">
        <v>918</v>
      </c>
      <c r="E18" s="16" t="s">
        <v>902</v>
      </c>
      <c r="F18" s="17"/>
      <c r="G18" s="17"/>
      <c r="H18" s="17"/>
      <c r="I18" s="17"/>
    </row>
    <row r="19" customFormat="false" ht="30" hidden="false" customHeight="true" outlineLevel="0" collapsed="false">
      <c r="A19" s="15" t="s">
        <v>938</v>
      </c>
      <c r="B19" s="16" t="s">
        <v>925</v>
      </c>
      <c r="C19" s="16" t="s">
        <v>939</v>
      </c>
      <c r="D19" s="16" t="s">
        <v>918</v>
      </c>
      <c r="E19" s="16" t="s">
        <v>934</v>
      </c>
      <c r="F19" s="17"/>
      <c r="G19" s="17"/>
      <c r="H19" s="17"/>
      <c r="I19" s="17"/>
    </row>
    <row r="20" customFormat="false" ht="30" hidden="false" customHeight="true" outlineLevel="0" collapsed="false">
      <c r="A20" s="15" t="s">
        <v>940</v>
      </c>
      <c r="B20" s="16" t="s">
        <v>925</v>
      </c>
      <c r="C20" s="16" t="s">
        <v>941</v>
      </c>
      <c r="D20" s="16" t="s">
        <v>918</v>
      </c>
      <c r="E20" s="16" t="s">
        <v>902</v>
      </c>
      <c r="F20" s="17"/>
      <c r="G20" s="17"/>
      <c r="H20" s="17"/>
      <c r="I20" s="17"/>
    </row>
    <row r="21" customFormat="false" ht="30" hidden="false" customHeight="true" outlineLevel="0" collapsed="false">
      <c r="A21" s="15" t="s">
        <v>942</v>
      </c>
      <c r="B21" s="16" t="s">
        <v>925</v>
      </c>
      <c r="C21" s="16" t="s">
        <v>933</v>
      </c>
      <c r="D21" s="16" t="s">
        <v>918</v>
      </c>
      <c r="E21" s="16" t="s">
        <v>934</v>
      </c>
      <c r="F21" s="17"/>
      <c r="G21" s="17"/>
      <c r="H21" s="17"/>
      <c r="I21" s="17"/>
    </row>
    <row r="22" customFormat="false" ht="30" hidden="false" customHeight="true" outlineLevel="0" collapsed="false">
      <c r="A22" s="15" t="s">
        <v>943</v>
      </c>
      <c r="B22" s="16" t="s">
        <v>925</v>
      </c>
      <c r="C22" s="16" t="s">
        <v>933</v>
      </c>
      <c r="D22" s="16" t="s">
        <v>918</v>
      </c>
      <c r="E22" s="16" t="s">
        <v>934</v>
      </c>
      <c r="F22" s="17"/>
      <c r="G22" s="17"/>
      <c r="H22" s="17"/>
      <c r="I22" s="17"/>
    </row>
    <row r="23" customFormat="false" ht="30" hidden="false" customHeight="true" outlineLevel="0" collapsed="false">
      <c r="A23" s="15" t="s">
        <v>944</v>
      </c>
      <c r="B23" s="16" t="s">
        <v>925</v>
      </c>
      <c r="C23" s="16" t="s">
        <v>933</v>
      </c>
      <c r="D23" s="16" t="s">
        <v>918</v>
      </c>
      <c r="E23" s="16" t="s">
        <v>945</v>
      </c>
      <c r="F23" s="17"/>
      <c r="G23" s="17"/>
      <c r="H23" s="17"/>
      <c r="I23" s="17"/>
    </row>
    <row r="24" customFormat="false" ht="30" hidden="false" customHeight="true" outlineLevel="0" collapsed="false">
      <c r="A24" s="15" t="s">
        <v>946</v>
      </c>
      <c r="B24" s="16" t="s">
        <v>947</v>
      </c>
      <c r="C24" s="16" t="s">
        <v>936</v>
      </c>
      <c r="D24" s="16" t="s">
        <v>918</v>
      </c>
      <c r="E24" s="16" t="s">
        <v>902</v>
      </c>
      <c r="F24" s="17"/>
      <c r="G24" s="17"/>
      <c r="H24" s="17"/>
      <c r="I24" s="17"/>
    </row>
    <row r="25" customFormat="false" ht="30" hidden="false" customHeight="true" outlineLevel="0" collapsed="false">
      <c r="A25" s="15" t="s">
        <v>948</v>
      </c>
      <c r="B25" s="16" t="s">
        <v>925</v>
      </c>
      <c r="C25" s="16" t="s">
        <v>949</v>
      </c>
      <c r="D25" s="16" t="s">
        <v>918</v>
      </c>
      <c r="E25" s="16" t="s">
        <v>902</v>
      </c>
      <c r="F25" s="17"/>
      <c r="G25" s="17"/>
      <c r="H25" s="17"/>
      <c r="I25" s="17"/>
    </row>
    <row r="26" customFormat="false" ht="30" hidden="false" customHeight="true" outlineLevel="0" collapsed="false">
      <c r="A26" s="15" t="s">
        <v>950</v>
      </c>
      <c r="B26" s="16" t="s">
        <v>951</v>
      </c>
      <c r="C26" s="16" t="s">
        <v>952</v>
      </c>
      <c r="D26" s="16" t="s">
        <v>918</v>
      </c>
      <c r="E26" s="16" t="s">
        <v>953</v>
      </c>
      <c r="F26" s="17"/>
      <c r="G26" s="17"/>
      <c r="H26" s="17"/>
      <c r="I26" s="17"/>
    </row>
    <row r="27" customFormat="false" ht="30" hidden="false" customHeight="true" outlineLevel="0" collapsed="false">
      <c r="A27" s="15" t="s">
        <v>954</v>
      </c>
      <c r="B27" s="16" t="s">
        <v>951</v>
      </c>
      <c r="C27" s="16" t="s">
        <v>955</v>
      </c>
      <c r="D27" s="16" t="s">
        <v>918</v>
      </c>
      <c r="E27" s="16" t="s">
        <v>902</v>
      </c>
      <c r="F27" s="17"/>
      <c r="G27" s="17"/>
      <c r="H27" s="17"/>
      <c r="I27" s="17"/>
    </row>
    <row r="28" customFormat="false" ht="30" hidden="false" customHeight="true" outlineLevel="0" collapsed="false">
      <c r="A28" s="15" t="s">
        <v>956</v>
      </c>
      <c r="B28" s="16" t="s">
        <v>904</v>
      </c>
      <c r="C28" s="16" t="s">
        <v>957</v>
      </c>
      <c r="D28" s="16" t="s">
        <v>92</v>
      </c>
      <c r="E28" s="16" t="s">
        <v>958</v>
      </c>
      <c r="F28" s="17"/>
      <c r="G28" s="17"/>
      <c r="H28" s="17"/>
      <c r="I28" s="17"/>
    </row>
    <row r="29" customFormat="false" ht="30" hidden="false" customHeight="true" outlineLevel="0" collapsed="false">
      <c r="A29" s="15" t="s">
        <v>959</v>
      </c>
      <c r="B29" s="16" t="s">
        <v>904</v>
      </c>
      <c r="C29" s="16" t="s">
        <v>957</v>
      </c>
      <c r="D29" s="16" t="s">
        <v>92</v>
      </c>
      <c r="E29" s="16" t="s">
        <v>960</v>
      </c>
      <c r="F29" s="17"/>
      <c r="G29" s="17"/>
      <c r="H29" s="17"/>
      <c r="I29" s="17"/>
    </row>
    <row r="30" customFormat="false" ht="30" hidden="false" customHeight="true" outlineLevel="0" collapsed="false">
      <c r="A30" s="15" t="s">
        <v>961</v>
      </c>
      <c r="B30" s="16" t="s">
        <v>904</v>
      </c>
      <c r="C30" s="16" t="s">
        <v>957</v>
      </c>
      <c r="D30" s="16" t="s">
        <v>92</v>
      </c>
      <c r="E30" s="16" t="s">
        <v>962</v>
      </c>
      <c r="F30" s="17"/>
      <c r="G30" s="17"/>
      <c r="H30" s="17"/>
      <c r="I30" s="17"/>
    </row>
    <row r="31" customFormat="false" ht="30" hidden="false" customHeight="true" outlineLevel="0" collapsed="false">
      <c r="A31" s="15" t="s">
        <v>963</v>
      </c>
      <c r="B31" s="16" t="s">
        <v>964</v>
      </c>
      <c r="C31" s="16" t="s">
        <v>933</v>
      </c>
      <c r="D31" s="16" t="s">
        <v>918</v>
      </c>
      <c r="E31" s="16" t="s">
        <v>965</v>
      </c>
      <c r="F31" s="17"/>
      <c r="G31" s="17"/>
      <c r="H31" s="17"/>
      <c r="I31" s="17"/>
    </row>
    <row r="32" customFormat="false" ht="30" hidden="false" customHeight="true" outlineLevel="0" collapsed="false">
      <c r="A32" s="15" t="s">
        <v>966</v>
      </c>
      <c r="B32" s="16" t="s">
        <v>967</v>
      </c>
      <c r="C32" s="16" t="s">
        <v>968</v>
      </c>
      <c r="D32" s="16" t="s">
        <v>918</v>
      </c>
      <c r="E32" s="16" t="s">
        <v>969</v>
      </c>
      <c r="F32" s="17"/>
      <c r="G32" s="17"/>
      <c r="H32" s="17"/>
      <c r="I32" s="17"/>
    </row>
    <row r="33" customFormat="false" ht="30" hidden="false" customHeight="true" outlineLevel="0" collapsed="false">
      <c r="A33" s="15" t="s">
        <v>970</v>
      </c>
      <c r="B33" s="16" t="s">
        <v>971</v>
      </c>
      <c r="C33" s="16" t="s">
        <v>972</v>
      </c>
      <c r="D33" s="16" t="s">
        <v>92</v>
      </c>
      <c r="E33" s="16" t="s">
        <v>973</v>
      </c>
      <c r="F33" s="17"/>
      <c r="G33" s="17"/>
      <c r="H33" s="17"/>
      <c r="I33" s="17"/>
    </row>
    <row r="34" customFormat="false" ht="30" hidden="false" customHeight="true" outlineLevel="0" collapsed="false">
      <c r="A34" s="15" t="s">
        <v>974</v>
      </c>
      <c r="B34" s="16" t="s">
        <v>975</v>
      </c>
      <c r="C34" s="16" t="s">
        <v>976</v>
      </c>
      <c r="D34" s="16" t="s">
        <v>119</v>
      </c>
      <c r="E34" s="16" t="s">
        <v>977</v>
      </c>
      <c r="F34" s="17"/>
      <c r="G34" s="17"/>
      <c r="H34" s="17"/>
      <c r="I34" s="17"/>
    </row>
    <row r="36" customFormat="false" ht="15" hidden="false" customHeight="false" outlineLevel="0" collapsed="false">
      <c r="A36" s="2" t="s">
        <v>978</v>
      </c>
    </row>
  </sheetData>
  <conditionalFormatting sqref="D5:D34">
    <cfRule type="cellIs" priority="2" operator="equal" aboveAverage="0" equalAverage="0" bottom="0" percent="0" rank="0" text="" dxfId="8">
      <formula>"High"</formula>
    </cfRule>
  </conditionalFormatting>
  <dataValidations count="3">
    <dataValidation allowBlank="true" errorStyle="stop" operator="between" showDropDown="false" showErrorMessage="false" showInputMessage="false" sqref="F5:F34" type="list">
      <formula1>"Yes,No,Partly,Unknown"</formula1>
      <formula2>0</formula2>
    </dataValidation>
    <dataValidation allowBlank="true" errorStyle="stop" operator="between" showDropDown="false" showErrorMessage="false" showInputMessage="false" sqref="G5:G34" type="whole">
      <formula1>1</formula1>
      <formula2>5</formula2>
    </dataValidation>
    <dataValidation allowBlank="true" errorStyle="stop" operator="between" showDropDown="false" showErrorMessage="false" showInputMessage="false" sqref="H5:H34" type="list">
      <formula1>"Yes,No,Pending legal review"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1"/>
    <pageSetUpPr fitToPage="true"/>
  </sheetPr>
  <dimension ref="A1:R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56"/>
    <col collapsed="false" customWidth="true" hidden="false" outlineLevel="0" max="18" min="3" style="0" width="6.51"/>
  </cols>
  <sheetData>
    <row r="1" customFormat="false" ht="19.7" hidden="false" customHeight="false" outlineLevel="0" collapsed="false">
      <c r="A1" s="1" t="s">
        <v>979</v>
      </c>
    </row>
    <row r="2" customFormat="false" ht="15" hidden="false" customHeight="false" outlineLevel="0" collapsed="false">
      <c r="A2" s="2" t="s">
        <v>980</v>
      </c>
    </row>
    <row r="4" customFormat="false" ht="15" hidden="false" customHeight="false" outlineLevel="0" collapsed="false">
      <c r="A4" s="7" t="s">
        <v>981</v>
      </c>
      <c r="B4" s="21" t="n">
        <v>46328</v>
      </c>
    </row>
    <row r="6" customFormat="false" ht="48" hidden="false" customHeight="true" outlineLevel="0" collapsed="false">
      <c r="A6" s="8" t="s">
        <v>982</v>
      </c>
      <c r="B6" s="8" t="s">
        <v>983</v>
      </c>
      <c r="C6" s="22" t="n">
        <f aca="false">$B$4+7*0</f>
        <v>46328</v>
      </c>
      <c r="D6" s="22" t="n">
        <f aca="false">$B$4+7*1</f>
        <v>46335</v>
      </c>
      <c r="E6" s="22" t="n">
        <f aca="false">$B$4+7*2</f>
        <v>46342</v>
      </c>
      <c r="F6" s="22" t="n">
        <f aca="false">$B$4+7*3</f>
        <v>46349</v>
      </c>
      <c r="G6" s="22" t="n">
        <f aca="false">$B$4+7*4</f>
        <v>46356</v>
      </c>
      <c r="H6" s="22" t="n">
        <f aca="false">$B$4+7*5</f>
        <v>46363</v>
      </c>
      <c r="I6" s="22" t="n">
        <f aca="false">$B$4+7*6</f>
        <v>46370</v>
      </c>
      <c r="J6" s="22" t="n">
        <f aca="false">$B$4+7*7</f>
        <v>46377</v>
      </c>
      <c r="K6" s="22" t="n">
        <f aca="false">$B$4+7*8</f>
        <v>46384</v>
      </c>
      <c r="L6" s="22" t="n">
        <f aca="false">$B$4+7*9</f>
        <v>46391</v>
      </c>
      <c r="M6" s="22" t="n">
        <f aca="false">$B$4+7*10</f>
        <v>46398</v>
      </c>
      <c r="N6" s="22" t="n">
        <f aca="false">$B$4+7*11</f>
        <v>46405</v>
      </c>
      <c r="O6" s="22" t="n">
        <f aca="false">$B$4+7*12</f>
        <v>46412</v>
      </c>
      <c r="P6" s="22" t="n">
        <f aca="false">$B$4+7*13</f>
        <v>46419</v>
      </c>
      <c r="Q6" s="22" t="n">
        <f aca="false">$B$4+7*14</f>
        <v>46426</v>
      </c>
      <c r="R6" s="22" t="n">
        <f aca="false">$B$4+7*15</f>
        <v>46433</v>
      </c>
    </row>
    <row r="7" customFormat="false" ht="46.5" hidden="false" customHeight="true" outlineLevel="0" collapsed="false">
      <c r="A7" s="15" t="s">
        <v>984</v>
      </c>
      <c r="B7" s="16" t="s">
        <v>985</v>
      </c>
      <c r="C7" s="23"/>
      <c r="D7" s="23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</row>
    <row r="8" customFormat="false" ht="46.5" hidden="false" customHeight="true" outlineLevel="0" collapsed="false">
      <c r="A8" s="15" t="s">
        <v>986</v>
      </c>
      <c r="B8" s="16" t="s">
        <v>987</v>
      </c>
      <c r="C8" s="24"/>
      <c r="D8" s="24"/>
      <c r="E8" s="23"/>
      <c r="F8" s="23"/>
      <c r="G8" s="23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</row>
    <row r="9" customFormat="false" ht="33" hidden="false" customHeight="true" outlineLevel="0" collapsed="false">
      <c r="A9" s="15" t="s">
        <v>988</v>
      </c>
      <c r="B9" s="16" t="s">
        <v>989</v>
      </c>
      <c r="C9" s="24"/>
      <c r="D9" s="24"/>
      <c r="E9" s="24"/>
      <c r="F9" s="24"/>
      <c r="G9" s="23"/>
      <c r="H9" s="23"/>
      <c r="I9" s="23"/>
      <c r="J9" s="23"/>
      <c r="K9" s="23"/>
      <c r="L9" s="23"/>
      <c r="M9" s="24"/>
      <c r="N9" s="24"/>
      <c r="O9" s="24"/>
      <c r="P9" s="24"/>
      <c r="Q9" s="24"/>
      <c r="R9" s="24"/>
    </row>
    <row r="10" customFormat="false" ht="33" hidden="false" customHeight="true" outlineLevel="0" collapsed="false">
      <c r="A10" s="15" t="s">
        <v>990</v>
      </c>
      <c r="B10" s="16" t="s">
        <v>991</v>
      </c>
      <c r="C10" s="24"/>
      <c r="D10" s="24"/>
      <c r="E10" s="24"/>
      <c r="F10" s="24"/>
      <c r="G10" s="24"/>
      <c r="H10" s="24"/>
      <c r="I10" s="24"/>
      <c r="J10" s="24"/>
      <c r="K10" s="24"/>
      <c r="L10" s="23"/>
      <c r="M10" s="23"/>
      <c r="N10" s="23"/>
      <c r="O10" s="23"/>
      <c r="P10" s="24"/>
      <c r="Q10" s="24"/>
      <c r="R10" s="24"/>
    </row>
    <row r="11" customFormat="false" ht="33" hidden="false" customHeight="true" outlineLevel="0" collapsed="false">
      <c r="A11" s="15" t="s">
        <v>992</v>
      </c>
      <c r="B11" s="16" t="s">
        <v>993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3"/>
      <c r="O11" s="23"/>
      <c r="P11" s="23"/>
      <c r="Q11" s="24"/>
      <c r="R11" s="24"/>
    </row>
    <row r="12" customFormat="false" ht="31.5" hidden="false" customHeight="true" outlineLevel="0" collapsed="false">
      <c r="A12" s="15" t="s">
        <v>994</v>
      </c>
      <c r="B12" s="16" t="s">
        <v>995</v>
      </c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4"/>
      <c r="N12" s="24"/>
      <c r="O12" s="24"/>
      <c r="P12" s="25"/>
      <c r="Q12" s="25"/>
      <c r="R12" s="24"/>
    </row>
    <row r="13" customFormat="false" ht="33" hidden="false" customHeight="true" outlineLevel="0" collapsed="false">
      <c r="A13" s="15" t="s">
        <v>996</v>
      </c>
      <c r="B13" s="16" t="s">
        <v>997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3"/>
      <c r="R13" s="23"/>
    </row>
    <row r="15" customFormat="false" ht="15" hidden="false" customHeight="false" outlineLevel="0" collapsed="false">
      <c r="A15" s="26" t="s">
        <v>998</v>
      </c>
    </row>
    <row r="16" customFormat="false" ht="30" hidden="false" customHeight="true" outlineLevel="0" collapsed="false">
      <c r="A16" s="27" t="s">
        <v>999</v>
      </c>
      <c r="B16" s="27"/>
      <c r="C16" s="27"/>
      <c r="D16" s="27"/>
      <c r="E16" s="27"/>
      <c r="F16" s="27"/>
      <c r="G16" s="27"/>
      <c r="H16" s="27"/>
      <c r="I16" s="27"/>
      <c r="J16" s="27"/>
    </row>
    <row r="17" customFormat="false" ht="30" hidden="false" customHeight="true" outlineLevel="0" collapsed="false">
      <c r="A17" s="27" t="s">
        <v>1000</v>
      </c>
      <c r="B17" s="27"/>
      <c r="C17" s="27"/>
      <c r="D17" s="27"/>
      <c r="E17" s="27"/>
      <c r="F17" s="27"/>
      <c r="G17" s="27"/>
      <c r="H17" s="27"/>
      <c r="I17" s="27"/>
      <c r="J17" s="27"/>
    </row>
    <row r="18" customFormat="false" ht="30" hidden="false" customHeight="true" outlineLevel="0" collapsed="false">
      <c r="A18" s="27" t="s">
        <v>1001</v>
      </c>
      <c r="B18" s="27"/>
      <c r="C18" s="27"/>
      <c r="D18" s="27"/>
      <c r="E18" s="27"/>
      <c r="F18" s="27"/>
      <c r="G18" s="27"/>
      <c r="H18" s="27"/>
      <c r="I18" s="27"/>
      <c r="J18" s="27"/>
    </row>
    <row r="20" customFormat="false" ht="15" hidden="false" customHeight="false" outlineLevel="0" collapsed="false">
      <c r="A20" s="6" t="s">
        <v>1002</v>
      </c>
    </row>
    <row r="21" customFormat="false" ht="33.75" hidden="false" customHeight="true" outlineLevel="0" collapsed="false">
      <c r="A21" s="8" t="s">
        <v>1003</v>
      </c>
      <c r="B21" s="8" t="s">
        <v>1004</v>
      </c>
      <c r="C21" s="8" t="s">
        <v>1005</v>
      </c>
      <c r="D21" s="8" t="s">
        <v>1006</v>
      </c>
      <c r="E21" s="8" t="s">
        <v>1007</v>
      </c>
      <c r="F21" s="8" t="s">
        <v>1008</v>
      </c>
      <c r="G21" s="8" t="s">
        <v>1009</v>
      </c>
    </row>
    <row r="22" customFormat="false" ht="46.5" hidden="false" customHeight="true" outlineLevel="0" collapsed="false">
      <c r="A22" s="15" t="s">
        <v>1010</v>
      </c>
      <c r="B22" s="16" t="s">
        <v>1011</v>
      </c>
      <c r="C22" s="28" t="n">
        <v>4</v>
      </c>
      <c r="D22" s="28" t="n">
        <v>5</v>
      </c>
      <c r="E22" s="29" t="n">
        <f aca="false">C22*D22</f>
        <v>20</v>
      </c>
      <c r="F22" s="30" t="str">
        <f aca="false">IF(E22&gt;=15,"High",IF(E22&gt;=8,"Medium","Low"))</f>
        <v>High</v>
      </c>
      <c r="G22" s="16" t="s">
        <v>254</v>
      </c>
    </row>
    <row r="23" customFormat="false" ht="46.5" hidden="false" customHeight="true" outlineLevel="0" collapsed="false">
      <c r="A23" s="15" t="s">
        <v>1012</v>
      </c>
      <c r="B23" s="16" t="s">
        <v>1013</v>
      </c>
      <c r="C23" s="28" t="n">
        <v>3</v>
      </c>
      <c r="D23" s="28" t="n">
        <v>5</v>
      </c>
      <c r="E23" s="29" t="n">
        <f aca="false">C23*D23</f>
        <v>15</v>
      </c>
      <c r="F23" s="30" t="str">
        <f aca="false">IF(E23&gt;=15,"High",IF(E23&gt;=8,"Medium","Low"))</f>
        <v>High</v>
      </c>
      <c r="G23" s="16" t="s">
        <v>1014</v>
      </c>
    </row>
    <row r="24" customFormat="false" ht="46.5" hidden="false" customHeight="true" outlineLevel="0" collapsed="false">
      <c r="A24" s="15" t="s">
        <v>1015</v>
      </c>
      <c r="B24" s="16" t="s">
        <v>1016</v>
      </c>
      <c r="C24" s="28" t="n">
        <v>4</v>
      </c>
      <c r="D24" s="28" t="n">
        <v>4</v>
      </c>
      <c r="E24" s="29" t="n">
        <f aca="false">C24*D24</f>
        <v>16</v>
      </c>
      <c r="F24" s="30" t="str">
        <f aca="false">IF(E24&gt;=15,"High",IF(E24&gt;=8,"Medium","Low"))</f>
        <v>High</v>
      </c>
      <c r="G24" s="16" t="s">
        <v>1017</v>
      </c>
    </row>
    <row r="25" customFormat="false" ht="46.5" hidden="false" customHeight="true" outlineLevel="0" collapsed="false">
      <c r="A25" s="15" t="s">
        <v>1018</v>
      </c>
      <c r="B25" s="16" t="s">
        <v>1019</v>
      </c>
      <c r="C25" s="28" t="n">
        <v>4</v>
      </c>
      <c r="D25" s="28" t="n">
        <v>4</v>
      </c>
      <c r="E25" s="29" t="n">
        <f aca="false">C25*D25</f>
        <v>16</v>
      </c>
      <c r="F25" s="30" t="str">
        <f aca="false">IF(E25&gt;=15,"High",IF(E25&gt;=8,"Medium","Low"))</f>
        <v>High</v>
      </c>
      <c r="G25" s="16" t="s">
        <v>1020</v>
      </c>
    </row>
    <row r="26" customFormat="false" ht="46.5" hidden="false" customHeight="true" outlineLevel="0" collapsed="false">
      <c r="A26" s="15" t="s">
        <v>1021</v>
      </c>
      <c r="B26" s="16" t="s">
        <v>1022</v>
      </c>
      <c r="C26" s="28" t="n">
        <v>3</v>
      </c>
      <c r="D26" s="28" t="n">
        <v>4</v>
      </c>
      <c r="E26" s="29" t="n">
        <f aca="false">C26*D26</f>
        <v>12</v>
      </c>
      <c r="F26" s="30" t="str">
        <f aca="false">IF(E26&gt;=15,"High",IF(E26&gt;=8,"Medium","Low"))</f>
        <v>Medium</v>
      </c>
      <c r="G26" s="16" t="s">
        <v>1023</v>
      </c>
    </row>
    <row r="27" customFormat="false" ht="46.5" hidden="false" customHeight="true" outlineLevel="0" collapsed="false">
      <c r="A27" s="15" t="s">
        <v>1024</v>
      </c>
      <c r="B27" s="16" t="s">
        <v>1025</v>
      </c>
      <c r="C27" s="28" t="n">
        <v>4</v>
      </c>
      <c r="D27" s="28" t="n">
        <v>3</v>
      </c>
      <c r="E27" s="29" t="n">
        <f aca="false">C27*D27</f>
        <v>12</v>
      </c>
      <c r="F27" s="30" t="str">
        <f aca="false">IF(E27&gt;=15,"High",IF(E27&gt;=8,"Medium","Low"))</f>
        <v>Medium</v>
      </c>
      <c r="G27" s="16" t="s">
        <v>1020</v>
      </c>
    </row>
    <row r="28" customFormat="false" ht="46.5" hidden="false" customHeight="true" outlineLevel="0" collapsed="false">
      <c r="A28" s="15" t="s">
        <v>1026</v>
      </c>
      <c r="B28" s="16" t="s">
        <v>1027</v>
      </c>
      <c r="C28" s="28" t="n">
        <v>3</v>
      </c>
      <c r="D28" s="28" t="n">
        <v>4</v>
      </c>
      <c r="E28" s="29" t="n">
        <f aca="false">C28*D28</f>
        <v>12</v>
      </c>
      <c r="F28" s="30" t="str">
        <f aca="false">IF(E28&gt;=15,"High",IF(E28&gt;=8,"Medium","Low"))</f>
        <v>Medium</v>
      </c>
      <c r="G28" s="16" t="s">
        <v>1028</v>
      </c>
    </row>
    <row r="29" customFormat="false" ht="43.5" hidden="false" customHeight="true" outlineLevel="0" collapsed="false">
      <c r="A29" s="15" t="s">
        <v>1029</v>
      </c>
      <c r="B29" s="16" t="s">
        <v>1030</v>
      </c>
      <c r="C29" s="28" t="n">
        <v>4</v>
      </c>
      <c r="D29" s="28" t="n">
        <v>3</v>
      </c>
      <c r="E29" s="29" t="n">
        <f aca="false">C29*D29</f>
        <v>12</v>
      </c>
      <c r="F29" s="30" t="str">
        <f aca="false">IF(E29&gt;=15,"High",IF(E29&gt;=8,"Medium","Low"))</f>
        <v>Medium</v>
      </c>
      <c r="G29" s="16" t="s">
        <v>272</v>
      </c>
    </row>
    <row r="30" customFormat="false" ht="46.5" hidden="false" customHeight="true" outlineLevel="0" collapsed="false">
      <c r="A30" s="15" t="s">
        <v>1031</v>
      </c>
      <c r="B30" s="16" t="s">
        <v>1032</v>
      </c>
      <c r="C30" s="28" t="n">
        <v>4</v>
      </c>
      <c r="D30" s="28" t="n">
        <v>3</v>
      </c>
      <c r="E30" s="29" t="n">
        <f aca="false">C30*D30</f>
        <v>12</v>
      </c>
      <c r="F30" s="30" t="str">
        <f aca="false">IF(E30&gt;=15,"High",IF(E30&gt;=8,"Medium","Low"))</f>
        <v>Medium</v>
      </c>
      <c r="G30" s="16" t="s">
        <v>1017</v>
      </c>
    </row>
    <row r="31" customFormat="false" ht="46.5" hidden="false" customHeight="true" outlineLevel="0" collapsed="false">
      <c r="A31" s="15" t="s">
        <v>1033</v>
      </c>
      <c r="B31" s="16" t="s">
        <v>1034</v>
      </c>
      <c r="C31" s="28" t="n">
        <v>3</v>
      </c>
      <c r="D31" s="28" t="n">
        <v>3</v>
      </c>
      <c r="E31" s="29" t="n">
        <f aca="false">C31*D31</f>
        <v>9</v>
      </c>
      <c r="F31" s="30" t="str">
        <f aca="false">IF(E31&gt;=15,"High",IF(E31&gt;=8,"Medium","Low"))</f>
        <v>Medium</v>
      </c>
      <c r="G31" s="16" t="s">
        <v>228</v>
      </c>
    </row>
    <row r="32" customFormat="false" ht="46.5" hidden="false" customHeight="true" outlineLevel="0" collapsed="false">
      <c r="A32" s="15" t="s">
        <v>1035</v>
      </c>
      <c r="B32" s="16" t="s">
        <v>1036</v>
      </c>
      <c r="C32" s="28" t="n">
        <v>3</v>
      </c>
      <c r="D32" s="28" t="n">
        <v>4</v>
      </c>
      <c r="E32" s="29" t="n">
        <f aca="false">C32*D32</f>
        <v>12</v>
      </c>
      <c r="F32" s="30" t="str">
        <f aca="false">IF(E32&gt;=15,"High",IF(E32&gt;=8,"Medium","Low"))</f>
        <v>Medium</v>
      </c>
      <c r="G32" s="16" t="s">
        <v>293</v>
      </c>
    </row>
    <row r="33" customFormat="false" ht="43.5" hidden="false" customHeight="true" outlineLevel="0" collapsed="false">
      <c r="A33" s="15" t="s">
        <v>1037</v>
      </c>
      <c r="B33" s="16" t="s">
        <v>1038</v>
      </c>
      <c r="C33" s="28" t="n">
        <v>3</v>
      </c>
      <c r="D33" s="28" t="n">
        <v>3</v>
      </c>
      <c r="E33" s="29" t="n">
        <f aca="false">C33*D33</f>
        <v>9</v>
      </c>
      <c r="F33" s="30" t="str">
        <f aca="false">IF(E33&gt;=15,"High",IF(E33&gt;=8,"Medium","Low"))</f>
        <v>Medium</v>
      </c>
      <c r="G33" s="16" t="s">
        <v>1023</v>
      </c>
    </row>
    <row r="34" customFormat="false" ht="43.5" hidden="false" customHeight="true" outlineLevel="0" collapsed="false">
      <c r="A34" s="15" t="s">
        <v>1039</v>
      </c>
      <c r="B34" s="16" t="s">
        <v>1040</v>
      </c>
      <c r="C34" s="28" t="n">
        <v>4</v>
      </c>
      <c r="D34" s="28" t="n">
        <v>3</v>
      </c>
      <c r="E34" s="29" t="n">
        <f aca="false">C34*D34</f>
        <v>12</v>
      </c>
      <c r="F34" s="30" t="str">
        <f aca="false">IF(E34&gt;=15,"High",IF(E34&gt;=8,"Medium","Low"))</f>
        <v>Medium</v>
      </c>
      <c r="G34" s="16" t="s">
        <v>160</v>
      </c>
    </row>
    <row r="35" customFormat="false" ht="46.5" hidden="false" customHeight="true" outlineLevel="0" collapsed="false">
      <c r="A35" s="15" t="s">
        <v>1041</v>
      </c>
      <c r="B35" s="16" t="s">
        <v>1042</v>
      </c>
      <c r="C35" s="28" t="n">
        <v>2</v>
      </c>
      <c r="D35" s="28" t="n">
        <v>3</v>
      </c>
      <c r="E35" s="29" t="n">
        <f aca="false">C35*D35</f>
        <v>6</v>
      </c>
      <c r="F35" s="30" t="str">
        <f aca="false">IF(E35&gt;=15,"High",IF(E35&gt;=8,"Medium","Low"))</f>
        <v>Low</v>
      </c>
      <c r="G35" s="16" t="s">
        <v>1043</v>
      </c>
    </row>
    <row r="37" customFormat="false" ht="15" hidden="false" customHeight="false" outlineLevel="0" collapsed="false">
      <c r="A37" s="2" t="s">
        <v>1044</v>
      </c>
    </row>
  </sheetData>
  <mergeCells count="3">
    <mergeCell ref="A16:J16"/>
    <mergeCell ref="A17:J17"/>
    <mergeCell ref="A18:J18"/>
  </mergeCells>
  <conditionalFormatting sqref="F22:F35">
    <cfRule type="cellIs" priority="2" operator="equal" aboveAverage="0" equalAverage="0" bottom="0" percent="0" rank="0" text="" dxfId="8">
      <formula>"High"</formula>
    </cfRule>
    <cfRule type="cellIs" priority="3" operator="equal" aboveAverage="0" equalAverage="0" bottom="0" percent="0" rank="0" text="" dxfId="9">
      <formula>"Medium"</formula>
    </cfRule>
    <cfRule type="cellIs" priority="4" operator="equal" aboveAverage="0" equalAverage="0" bottom="0" percent="0" rank="0" text="" dxfId="7">
      <formula>"Low"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1"/>
    <pageSetUpPr fitToPage="true"/>
  </sheetPr>
  <dimension ref="A1:F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24"/>
    <col collapsed="false" customWidth="true" hidden="false" outlineLevel="0" max="6" min="5" style="0" width="30"/>
  </cols>
  <sheetData>
    <row r="1" customFormat="false" ht="19.7" hidden="false" customHeight="false" outlineLevel="0" collapsed="false">
      <c r="A1" s="1" t="s">
        <v>1045</v>
      </c>
    </row>
    <row r="2" customFormat="false" ht="15" hidden="false" customHeight="false" outlineLevel="0" collapsed="false">
      <c r="A2" s="2" t="s">
        <v>1046</v>
      </c>
    </row>
    <row r="4" customFormat="false" ht="30" hidden="false" customHeight="true" outlineLevel="0" collapsed="false">
      <c r="A4" s="8" t="s">
        <v>1047</v>
      </c>
      <c r="B4" s="8" t="s">
        <v>1048</v>
      </c>
      <c r="C4" s="8" t="s">
        <v>1049</v>
      </c>
      <c r="D4" s="8" t="s">
        <v>1050</v>
      </c>
      <c r="E4" s="8" t="s">
        <v>1051</v>
      </c>
      <c r="F4" s="8" t="s">
        <v>1052</v>
      </c>
    </row>
    <row r="5" customFormat="false" ht="24" hidden="false" customHeight="true" outlineLevel="0" collapsed="false">
      <c r="A5" s="15" t="s">
        <v>160</v>
      </c>
      <c r="B5" s="16" t="s">
        <v>1053</v>
      </c>
      <c r="C5" s="16" t="s">
        <v>1054</v>
      </c>
      <c r="D5" s="17"/>
      <c r="E5" s="17"/>
      <c r="F5" s="17"/>
    </row>
    <row r="6" customFormat="false" ht="24" hidden="false" customHeight="true" outlineLevel="0" collapsed="false">
      <c r="A6" s="15" t="s">
        <v>1055</v>
      </c>
      <c r="B6" s="16" t="s">
        <v>1056</v>
      </c>
      <c r="C6" s="16" t="s">
        <v>1054</v>
      </c>
      <c r="D6" s="17"/>
      <c r="E6" s="17"/>
      <c r="F6" s="17"/>
    </row>
    <row r="7" customFormat="false" ht="24" hidden="false" customHeight="true" outlineLevel="0" collapsed="false">
      <c r="A7" s="15" t="s">
        <v>210</v>
      </c>
      <c r="B7" s="16" t="s">
        <v>1057</v>
      </c>
      <c r="C7" s="16" t="s">
        <v>1054</v>
      </c>
      <c r="D7" s="17"/>
      <c r="E7" s="17"/>
      <c r="F7" s="17"/>
    </row>
    <row r="8" customFormat="false" ht="24" hidden="false" customHeight="true" outlineLevel="0" collapsed="false">
      <c r="A8" s="15" t="s">
        <v>1058</v>
      </c>
      <c r="B8" s="16" t="s">
        <v>1059</v>
      </c>
      <c r="C8" s="16" t="s">
        <v>1060</v>
      </c>
      <c r="D8" s="17"/>
      <c r="E8" s="17"/>
      <c r="F8" s="17"/>
    </row>
    <row r="9" customFormat="false" ht="24" hidden="false" customHeight="true" outlineLevel="0" collapsed="false">
      <c r="A9" s="15" t="s">
        <v>1061</v>
      </c>
      <c r="B9" s="16" t="s">
        <v>1062</v>
      </c>
      <c r="C9" s="16" t="s">
        <v>1063</v>
      </c>
      <c r="D9" s="17"/>
      <c r="E9" s="17"/>
      <c r="F9" s="17"/>
    </row>
    <row r="10" customFormat="false" ht="24" hidden="false" customHeight="true" outlineLevel="0" collapsed="false">
      <c r="A10" s="15" t="s">
        <v>1064</v>
      </c>
      <c r="B10" s="16" t="s">
        <v>1065</v>
      </c>
      <c r="C10" s="16" t="s">
        <v>1066</v>
      </c>
      <c r="D10" s="17"/>
      <c r="E10" s="17"/>
      <c r="F10" s="17"/>
    </row>
    <row r="11" customFormat="false" ht="24" hidden="false" customHeight="true" outlineLevel="0" collapsed="false">
      <c r="A11" s="15" t="s">
        <v>1067</v>
      </c>
      <c r="B11" s="16" t="s">
        <v>1068</v>
      </c>
      <c r="C11" s="16" t="s">
        <v>1054</v>
      </c>
      <c r="D11" s="17"/>
      <c r="E11" s="17"/>
      <c r="F11" s="17"/>
    </row>
    <row r="12" customFormat="false" ht="24" hidden="false" customHeight="true" outlineLevel="0" collapsed="false">
      <c r="A12" s="15" t="s">
        <v>1069</v>
      </c>
      <c r="B12" s="16" t="s">
        <v>1070</v>
      </c>
      <c r="C12" s="16" t="s">
        <v>1071</v>
      </c>
      <c r="D12" s="17"/>
      <c r="E12" s="17"/>
      <c r="F12" s="17"/>
    </row>
    <row r="13" customFormat="false" ht="24" hidden="false" customHeight="true" outlineLevel="0" collapsed="false">
      <c r="A13" s="15" t="s">
        <v>1072</v>
      </c>
      <c r="B13" s="16" t="s">
        <v>1073</v>
      </c>
      <c r="C13" s="16" t="s">
        <v>1071</v>
      </c>
      <c r="D13" s="17"/>
      <c r="E13" s="17"/>
      <c r="F13" s="17"/>
    </row>
    <row r="14" customFormat="false" ht="24" hidden="false" customHeight="true" outlineLevel="0" collapsed="false">
      <c r="A14" s="15" t="s">
        <v>1074</v>
      </c>
      <c r="B14" s="16" t="s">
        <v>1075</v>
      </c>
      <c r="C14" s="16" t="s">
        <v>1076</v>
      </c>
      <c r="D14" s="17"/>
      <c r="E14" s="17"/>
      <c r="F14" s="17"/>
    </row>
    <row r="15" customFormat="false" ht="24" hidden="false" customHeight="true" outlineLevel="0" collapsed="false">
      <c r="A15" s="15" t="s">
        <v>1077</v>
      </c>
      <c r="B15" s="16" t="s">
        <v>1078</v>
      </c>
      <c r="C15" s="16" t="s">
        <v>1079</v>
      </c>
      <c r="D15" s="17"/>
      <c r="E15" s="17"/>
      <c r="F15" s="17"/>
    </row>
    <row r="16" customFormat="false" ht="24" hidden="false" customHeight="true" outlineLevel="0" collapsed="false">
      <c r="A16" s="15" t="s">
        <v>1080</v>
      </c>
      <c r="B16" s="16" t="s">
        <v>1081</v>
      </c>
      <c r="C16" s="16" t="s">
        <v>1082</v>
      </c>
      <c r="D16" s="17"/>
      <c r="E16" s="17"/>
      <c r="F16" s="17"/>
    </row>
    <row r="17" customFormat="false" ht="24" hidden="false" customHeight="true" outlineLevel="0" collapsed="false">
      <c r="A17" s="15" t="s">
        <v>1083</v>
      </c>
      <c r="B17" s="16" t="s">
        <v>1084</v>
      </c>
      <c r="C17" s="16" t="s">
        <v>1054</v>
      </c>
      <c r="D17" s="17"/>
      <c r="E17" s="17"/>
      <c r="F17" s="17"/>
    </row>
    <row r="18" customFormat="false" ht="24" hidden="false" customHeight="true" outlineLevel="0" collapsed="false">
      <c r="A18" s="15" t="s">
        <v>1085</v>
      </c>
      <c r="B18" s="16" t="s">
        <v>1086</v>
      </c>
      <c r="C18" s="16" t="s">
        <v>1071</v>
      </c>
      <c r="D18" s="17"/>
      <c r="E18" s="17"/>
      <c r="F18" s="17"/>
    </row>
    <row r="19" customFormat="false" ht="24" hidden="false" customHeight="true" outlineLevel="0" collapsed="false">
      <c r="A19" s="15" t="s">
        <v>1087</v>
      </c>
      <c r="B19" s="16" t="s">
        <v>1088</v>
      </c>
      <c r="C19" s="16" t="s">
        <v>1089</v>
      </c>
      <c r="D19" s="17"/>
      <c r="E19" s="17"/>
      <c r="F19" s="17"/>
    </row>
    <row r="20" customFormat="false" ht="24" hidden="false" customHeight="true" outlineLevel="0" collapsed="false">
      <c r="A20" s="15" t="s">
        <v>1090</v>
      </c>
      <c r="B20" s="16" t="s">
        <v>1091</v>
      </c>
      <c r="C20" s="16" t="s">
        <v>1092</v>
      </c>
      <c r="D20" s="17"/>
      <c r="E20" s="17"/>
      <c r="F20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AA5B1"/>
    <pageSetUpPr fitToPage="true"/>
  </sheetPr>
  <dimension ref="A1:B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22</v>
      </c>
    </row>
    <row r="3" customFormat="false" ht="30" hidden="false" customHeight="true" outlineLevel="0" collapsed="false">
      <c r="A3" s="8" t="s">
        <v>1093</v>
      </c>
      <c r="B3" s="8" t="s">
        <v>1094</v>
      </c>
    </row>
    <row r="4" customFormat="false" ht="15" hidden="false" customHeight="false" outlineLevel="0" collapsed="false">
      <c r="A4" s="31" t="s">
        <v>1095</v>
      </c>
      <c r="B4" s="32" t="s">
        <v>1096</v>
      </c>
    </row>
    <row r="5" customFormat="false" ht="15" hidden="false" customHeight="false" outlineLevel="0" collapsed="false">
      <c r="A5" s="31" t="s">
        <v>1097</v>
      </c>
      <c r="B5" s="32" t="s">
        <v>1098</v>
      </c>
    </row>
    <row r="6" customFormat="false" ht="15" hidden="false" customHeight="false" outlineLevel="0" collapsed="false">
      <c r="A6" s="31" t="s">
        <v>1099</v>
      </c>
      <c r="B6" s="32" t="s">
        <v>1100</v>
      </c>
    </row>
    <row r="7" customFormat="false" ht="15" hidden="false" customHeight="false" outlineLevel="0" collapsed="false">
      <c r="A7" s="31" t="s">
        <v>1101</v>
      </c>
      <c r="B7" s="32" t="s">
        <v>1102</v>
      </c>
    </row>
    <row r="8" customFormat="false" ht="15" hidden="false" customHeight="false" outlineLevel="0" collapsed="false">
      <c r="A8" s="31" t="s">
        <v>1103</v>
      </c>
      <c r="B8" s="32" t="s">
        <v>1104</v>
      </c>
    </row>
    <row r="10" customFormat="false" ht="15" hidden="false" customHeight="false" outlineLevel="0" collapsed="false">
      <c r="A10" s="2" t="s">
        <v>1105</v>
      </c>
    </row>
  </sheetData>
  <hyperlinks>
    <hyperlink ref="B4" r:id="rId1" display="https://www.qualtrics.com/support/employee-experience/getting-started-employee-experience/360-onboarding/form-building/"/>
    <hyperlink ref="B5" r:id="rId2" display="https://www.qualtrics.com/articles/news/qualtrics-and-sap-announce-new-partnership-to-help-organizations-deliver-great-employee-experiences/"/>
    <hyperlink ref="B6" r:id="rId3" display="https://www.sap.com/uk/products/hcm/partners/qualtrics-llc-qualtrics-employee-experience.html"/>
    <hyperlink ref="B7" r:id="rId4" display="https://assets.dm.ux.sap.com/webinars/sap-user-groups-k4u/pdfs/191212_qualtrics_successfactors_roadmap.pdf"/>
    <hyperlink ref="B8" r:id="rId5" display="https://www.techtarget.com/enterprise-software/answer/What-capabilities-does-Qualtrics-EmployeeXM-offer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2026-10-28T13:12:29Z</dcterms:created>
  <dc:creator>openpyxl</dc:creator>
  <dc:description/>
  <dc:language>en-US</dc:language>
  <cp:lastModifiedBy/>
  <dcterms:modified xsi:type="dcterms:W3CDTF">2026-10-28T13:12:30Z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